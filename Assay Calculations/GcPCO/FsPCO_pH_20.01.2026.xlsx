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GcPCO/"/>
    </mc:Choice>
  </mc:AlternateContent>
  <xr:revisionPtr revIDLastSave="27" documentId="8_{ADC5122F-2FE7-4CB5-AC81-23E5C291CDDE}" xr6:coauthVersionLast="47" xr6:coauthVersionMax="47" xr10:uidLastSave="{8363DE16-9D5B-45D3-842C-DDE7BC689C3B}"/>
  <bookViews>
    <workbookView xWindow="-108" yWindow="-108" windowWidth="23256" windowHeight="13896" xr2:uid="{DDCF3E13-D2E2-4E14-AB9E-6AA60CE09D32}"/>
  </bookViews>
  <sheets>
    <sheet name="for 5 time points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3" i="1"/>
  <c r="N12" i="1"/>
  <c r="N10" i="1"/>
  <c r="I19" i="1"/>
  <c r="I18" i="1"/>
  <c r="I17" i="1"/>
  <c r="H24" i="1"/>
  <c r="H23" i="1"/>
  <c r="H22" i="1"/>
  <c r="C6" i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I20" i="1" l="1"/>
  <c r="C24" i="1"/>
  <c r="D7" i="1"/>
  <c r="C26" i="1"/>
  <c r="C27" i="1" s="1"/>
  <c r="D6" i="1"/>
  <c r="E6" i="1"/>
  <c r="H17" i="1" s="1"/>
  <c r="E7" i="1"/>
  <c r="M12" i="1" s="1"/>
  <c r="E9" i="1"/>
  <c r="D5" i="1"/>
  <c r="E5" i="1" s="1"/>
  <c r="M10" i="1" s="1"/>
  <c r="D3" i="1"/>
  <c r="E3" i="1" s="1"/>
  <c r="H18" i="1" s="1"/>
  <c r="D4" i="1"/>
  <c r="E4" i="1" s="1"/>
  <c r="N22" i="1" l="1"/>
  <c r="M15" i="1"/>
  <c r="M13" i="1"/>
  <c r="H10" i="1"/>
  <c r="J10" i="1" s="1"/>
  <c r="E8" i="1"/>
  <c r="H19" i="1"/>
  <c r="N23" i="1" l="1"/>
  <c r="N14" i="1"/>
  <c r="N16" i="1" s="1"/>
  <c r="M14" i="1"/>
  <c r="M16" i="1" s="1"/>
  <c r="H20" i="1"/>
  <c r="H25" i="1" l="1"/>
</calcChain>
</file>

<file path=xl/sharedStrings.xml><?xml version="1.0" encoding="utf-8"?>
<sst xmlns="http://schemas.openxmlformats.org/spreadsheetml/2006/main" count="144" uniqueCount="88">
  <si>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</si>
  <si>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</si>
  <si>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</si>
  <si>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</si>
  <si>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</si>
  <si>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</si>
  <si>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</si>
  <si>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</si>
  <si>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</si>
  <si>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</si>
  <si>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</si>
  <si>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</si>
  <si>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</si>
  <si>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</si>
  <si>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</si>
  <si>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</si>
  <si>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</si>
  <si>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</si>
  <si>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</si>
  <si>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</si>
  <si>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</si>
  <si>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</si>
  <si>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</si>
  <si>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</si>
  <si>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</si>
  <si>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</si>
  <si>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</si>
  <si>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</si>
  <si>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</si>
  <si>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</si>
  <si>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</si>
  <si>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</si>
  <si>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</si>
  <si>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</si>
  <si>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</si>
  <si>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</si>
  <si>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</si>
  <si>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</si>
  <si>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</si>
  <si>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</si>
  <si>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</si>
  <si>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</si>
  <si>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</si>
  <si>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</si>
  <si>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</si>
  <si>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</si>
  <si>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</si>
  <si>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</si>
  <si>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</si>
  <si>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</si>
  <si>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</si>
  <si>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</si>
  <si>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</si>
  <si>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</si>
  <si>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</si>
  <si>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</si>
  <si>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</si>
  <si>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</si>
  <si>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</si>
  <si>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</si>
  <si>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</si>
  <si>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</si>
  <si>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</si>
  <si>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</si>
  <si>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</si>
  <si>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</si>
  <si>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</si>
  <si>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</si>
  <si>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</si>
  <si>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</si>
  <si>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</si>
  <si>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</si>
  <si>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</si>
  <si>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</si>
  <si>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</si>
  <si>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</si>
  <si>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</si>
  <si>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</si>
  <si>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</si>
  <si>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</si>
  <si>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</si>
  <si>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</si>
  <si>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</si>
  <si>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</si>
  <si>
    <t>NOTE: Originally make column was vol*1.2</t>
  </si>
  <si>
    <t>I had issues with volume of EM/MM0</t>
  </si>
  <si>
    <t>so did *1.4</t>
  </si>
  <si>
    <t>NOTE: Originally make column was vol*1.2 but I had issues with volume of mastermixes, so did *1.4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</si>
</sst>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zoomScale="91" zoomScaleNormal="52" workbookViewId="0">
      <selection activeCell="N16" sqref="N16:N18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5.0000000000000002E-5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50</v>
      </c>
      <c r="J2" s="91"/>
      <c r="K2" s="91"/>
    </row>
    <row r="3" spans="1:15" ht="15" thickBot="1" x14ac:dyDescent="0.35">
      <c r="A3" s="9" t="s">
        <v>7</v>
      </c>
      <c r="B3" s="10">
        <f>K21/1000000</f>
        <v>1.2538600000000001E-5</v>
      </c>
      <c r="C3" s="11">
        <f>L7/1000000</f>
        <v>9.9999999999999995E-7</v>
      </c>
      <c r="D3" s="12">
        <f>C3*H1</f>
        <v>5.0000000000000002E-11</v>
      </c>
      <c r="E3" s="13">
        <f>1000000*(D3/B3)</f>
        <v>3.9876860255530917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5.0000000000000001E-9</v>
      </c>
      <c r="E4" s="17">
        <f>1000000*(D4/B4)</f>
        <v>0.5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2.5000000000000004E-7</v>
      </c>
      <c r="E5" s="23">
        <f>1000000*(D5/B5)</f>
        <v>0.50000000000000011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3.0000000000000004E-9</v>
      </c>
      <c r="E6" s="23">
        <f>1000000*(D6/B6)</f>
        <v>1.5000000000000002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5.0000000000000004E-8</v>
      </c>
      <c r="E7" s="28">
        <f>1000000*(D7/B7)</f>
        <v>0.5</v>
      </c>
      <c r="G7" s="29" t="s">
        <v>18</v>
      </c>
      <c r="H7" s="18">
        <v>0</v>
      </c>
      <c r="J7" s="93" t="s">
        <v>19</v>
      </c>
      <c r="K7" s="94"/>
      <c r="L7" s="30">
        <v>1</v>
      </c>
      <c r="M7" s="95" t="s">
        <v>20</v>
      </c>
      <c r="N7" s="96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43.012313974446911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147</v>
      </c>
      <c r="I10" s="5" t="s">
        <v>26</v>
      </c>
      <c r="J10" s="5">
        <f>H10*1.2</f>
        <v>176.4</v>
      </c>
      <c r="K10" s="5"/>
      <c r="L10" s="5" t="s">
        <v>12</v>
      </c>
      <c r="M10" s="43">
        <f>E5</f>
        <v>0.50000000000000011</v>
      </c>
      <c r="N10" s="1">
        <f>1.4*M10*H6</f>
        <v>4.2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0.5</v>
      </c>
      <c r="N12" s="1">
        <f>1.4*M12*H6</f>
        <v>4.1999999999999993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23.5</v>
      </c>
      <c r="N13" s="1">
        <f>1.4*M13*H6</f>
        <v>197.39999999999998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24.5</v>
      </c>
      <c r="N14" s="5">
        <f>SUM(N10:N13)</f>
        <v>205.79999999999998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0.5</v>
      </c>
      <c r="N15" s="55">
        <f>1.4*M15*H6</f>
        <v>4.1999999999999993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25</v>
      </c>
      <c r="N16" s="108">
        <f>SUM(N14:N15)</f>
        <v>209.99999999999997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1.5000000000000002</v>
      </c>
      <c r="I17" s="59">
        <f>H17*1.4</f>
        <v>2.1</v>
      </c>
      <c r="J17" t="s">
        <v>84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3.9876860255530917</v>
      </c>
      <c r="I18" s="59">
        <f>H18*1.4</f>
        <v>5.5827604357743281</v>
      </c>
      <c r="J18" t="s">
        <v>85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19.512313974446908</v>
      </c>
      <c r="I19">
        <f>H19*1.4</f>
        <v>27.31723956422567</v>
      </c>
      <c r="J19" t="s">
        <v>86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25</v>
      </c>
      <c r="I20" s="60">
        <f>SUM(I17:I19)</f>
        <v>35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12.538600000000001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1.4*H17*($H$5*$H$4)</f>
        <v>6.3000000000000007</v>
      </c>
      <c r="I22" s="59"/>
      <c r="J22" s="111"/>
      <c r="K22" s="114"/>
      <c r="L22" s="63"/>
      <c r="M22" s="62" t="s">
        <v>15</v>
      </c>
      <c r="N22" s="64">
        <f>H22</f>
        <v>6.3000000000000007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16.748281307322983</v>
      </c>
      <c r="I23" s="59"/>
      <c r="J23" s="112"/>
      <c r="K23" s="115"/>
      <c r="L23" s="63"/>
      <c r="M23" s="62" t="s">
        <v>21</v>
      </c>
      <c r="N23" s="64">
        <f>H24+H23</f>
        <v>98.699999999999989</v>
      </c>
    </row>
    <row r="24" spans="1:14" x14ac:dyDescent="0.3">
      <c r="A24" s="127" t="s">
        <v>46</v>
      </c>
      <c r="B24" s="127"/>
      <c r="C24" s="65">
        <f>(C4*H1)*1000000</f>
        <v>5.0000000000000001E-3</v>
      </c>
      <c r="D24" s="128" t="s">
        <v>47</v>
      </c>
      <c r="E24" s="53"/>
      <c r="G24" s="62" t="s">
        <v>21</v>
      </c>
      <c r="H24" s="64">
        <f>1.4*H19*($H$5*$H$4)</f>
        <v>81.951718692677005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28232.74</v>
      </c>
      <c r="D25" s="128"/>
      <c r="E25" s="67"/>
      <c r="F25" s="68" t="s">
        <v>49</v>
      </c>
      <c r="G25" s="69" t="s">
        <v>33</v>
      </c>
      <c r="H25" s="70">
        <f>SUM(H22:H24)</f>
        <v>104.99999999999999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5.0000000000000002E-11</v>
      </c>
      <c r="D26" s="128"/>
      <c r="E26" s="67" t="s">
        <v>52</v>
      </c>
      <c r="F26" s="68">
        <v>29346</v>
      </c>
      <c r="I26" t="s">
        <v>87</v>
      </c>
    </row>
    <row r="27" spans="1:14" x14ac:dyDescent="0.3">
      <c r="A27" s="129" t="s">
        <v>53</v>
      </c>
      <c r="B27" s="129"/>
      <c r="C27" s="71">
        <f>C26*C25*1000</f>
        <v>1.4116370000000001E-3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Props1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5 time points 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2026-01-21T09:19:13Z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