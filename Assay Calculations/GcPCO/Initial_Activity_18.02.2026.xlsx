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GcPCO/"/>
    </mc:Choice>
  </mc:AlternateContent>
  <xr:revisionPtr revIDLastSave="0" documentId="8_{77CFACB5-1BA2-4501-8BCA-D712E3A3F2F8}" xr6:coauthVersionLast="47" xr6:coauthVersionMax="47" xr10:uidLastSave="{00000000-0000-0000-0000-000000000000}"/>
  <bookViews>
    <workbookView xWindow="-108" yWindow="-108" windowWidth="23256" windowHeight="13896" xr2:uid="{DDCF3E13-D2E2-4E14-AB9E-6AA60CE09D32}"/>
  </bookViews>
  <sheets>
    <sheet name="Sml_PpPCO" sheetId="7" r:id="rId1"/>
    <sheet name="Lrg_PpPCO" sheetId="6" r:id="rId2"/>
    <sheet name="GcPCO" sheetId="5" r:id="rId3"/>
    <sheet name="PuPCO" sheetId="4" r:id="rId4"/>
    <sheet name="Sml_FsPCO" sheetId="3" r:id="rId5"/>
    <sheet name="Lrg_FsPCO" sheetId="1" r:id="rId6"/>
    <sheet name="Sheet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D7" i="3" l="1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M14" i="3" l="1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N14" i="5"/>
  <c r="N16" i="5" s="1"/>
  <c r="E8" i="5"/>
  <c r="H20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I18" i="4" l="1"/>
  <c r="H19" i="4"/>
  <c r="H23" i="4"/>
  <c r="I19" i="1"/>
  <c r="H24" i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23" i="1"/>
  <c r="N14" i="1"/>
  <c r="N16" i="1" s="1"/>
  <c r="M14" i="1"/>
  <c r="M16" i="1" s="1"/>
  <c r="H20" i="1"/>
  <c r="H24" i="4" l="1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<sst xmlns="http://schemas.openxmlformats.org/spreadsheetml/2006/main" count="865" uniqueCount="89">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</sst>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tabSelected="1" topLeftCell="B1"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1"/>
      <c r="K2" s="91"/>
    </row>
    <row r="3" spans="1:15" ht="15" thickBot="1" x14ac:dyDescent="0.35">
      <c r="A3" s="9" t="s">
        <v>7</v>
      </c>
      <c r="B3" s="10">
        <f>K21/1000000</f>
        <v>1.0679899999999999E-5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8.4270451970524078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76.172954802947586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8.4270451970524078</v>
      </c>
      <c r="I18" s="59">
        <f>H18*1.4</f>
        <v>11.79786327587337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33.872954802947589</v>
      </c>
      <c r="I19">
        <f>H19*1.4</f>
        <v>47.422136724126624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10.6799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35.393589827620112</v>
      </c>
      <c r="I23" s="59"/>
      <c r="J23" s="112"/>
      <c r="K23" s="115"/>
      <c r="L23" s="63"/>
      <c r="M23" s="62" t="s">
        <v>21</v>
      </c>
      <c r="N23" s="64">
        <f>H24+H23</f>
        <v>177.65999999999997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142.26641017237986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29120.07</v>
      </c>
      <c r="D25" s="128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v>2.6208062999999999E-3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1"/>
      <c r="K2" s="91"/>
    </row>
    <row r="3" spans="1:15" ht="15" thickBot="1" x14ac:dyDescent="0.35">
      <c r="A3" s="9" t="s">
        <v>7</v>
      </c>
      <c r="B3" s="10">
        <f>K21/1000000</f>
        <v>1.08516E-5</v>
      </c>
      <c r="C3" s="11">
        <f>L7/1000000</f>
        <v>9.9999999999999995E-7</v>
      </c>
      <c r="D3" s="12">
        <f>C3*H1</f>
        <v>8.9999999999999999E-11</v>
      </c>
      <c r="E3" s="13">
        <f>1000000*(D3/B3)</f>
        <v>8.2937078403184792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76.306292159681519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8.2937078403184792</v>
      </c>
      <c r="I18" s="59">
        <f>H18*1.4</f>
        <v>11.611190976445871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34.006292159681522</v>
      </c>
      <c r="I19">
        <f>H19*1.4</f>
        <v>47.60880902355413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10.851599999999999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34.833572929337613</v>
      </c>
      <c r="I23" s="59"/>
      <c r="J23" s="112"/>
      <c r="K23" s="115"/>
      <c r="L23" s="63"/>
      <c r="M23" s="62" t="s">
        <v>21</v>
      </c>
      <c r="N23" s="64">
        <f>H24+H23</f>
        <v>177.66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142.82642707066239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29120.07</v>
      </c>
      <c r="D25" s="128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v>2.6208062999999999E-3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1"/>
      <c r="K2" s="91"/>
    </row>
    <row r="3" spans="1:15" ht="15" thickBot="1" x14ac:dyDescent="0.35">
      <c r="A3" s="9" t="s">
        <v>7</v>
      </c>
      <c r="B3" s="10">
        <f>K21/1000000</f>
        <v>8.7810000000000011E-6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10.249402118209769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74.350597881790236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10.249402118209769</v>
      </c>
      <c r="I18" s="59">
        <f>H18*1.4</f>
        <v>14.349162965493676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32.050597881790225</v>
      </c>
      <c r="I19">
        <f>H19*1.4</f>
        <v>44.870837034506309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44.999999999999993</v>
      </c>
      <c r="I20" s="60">
        <f>SUM(I17:I19)</f>
        <v>62.999999999999986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8.7810000000000006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43.047488896481028</v>
      </c>
      <c r="I23" s="59"/>
      <c r="J23" s="112"/>
      <c r="K23" s="115"/>
      <c r="L23" s="63"/>
      <c r="M23" s="62" t="s">
        <v>21</v>
      </c>
      <c r="N23" s="64">
        <f>H24+H23</f>
        <v>177.65999999999997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134.61251110351893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30634.39</v>
      </c>
      <c r="D25" s="128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f>C26*C25*1000</f>
        <v>2.7570950999999998E-3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zoomScale="91" zoomScaleNormal="52" workbookViewId="0">
      <selection activeCell="H3" sqref="H3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1"/>
      <c r="K2" s="91"/>
    </row>
    <row r="3" spans="1:15" ht="15" thickBot="1" x14ac:dyDescent="0.35">
      <c r="A3" s="9" t="s">
        <v>7</v>
      </c>
      <c r="B3" s="10">
        <f>K21/1000000</f>
        <v>1.2143299999999999E-5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7.4114944043217248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77.188505595678279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7.4114944043217248</v>
      </c>
      <c r="I18" s="59">
        <f>H18*1.4</f>
        <v>10.376092166050414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34.888505595678275</v>
      </c>
      <c r="I19">
        <f>H19*1.4</f>
        <v>48.843907833949579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12.1433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31.128276498151244</v>
      </c>
      <c r="I23" s="59"/>
      <c r="J23" s="112"/>
      <c r="K23" s="115"/>
      <c r="L23" s="63"/>
      <c r="M23" s="62" t="s">
        <v>21</v>
      </c>
      <c r="N23" s="64">
        <f>H24+H23</f>
        <v>177.66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146.53172350184875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42986.78</v>
      </c>
      <c r="D25" s="128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f>C26*C25*1000</f>
        <v>3.8688101999999999E-3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H3" sqref="H3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1"/>
      <c r="K2" s="91"/>
    </row>
    <row r="3" spans="1:15" ht="15" thickBot="1" x14ac:dyDescent="0.35">
      <c r="A3" s="9" t="s">
        <v>7</v>
      </c>
      <c r="B3" s="10">
        <f>K21/1000000</f>
        <v>1.00592E-5</v>
      </c>
      <c r="C3" s="11">
        <f>L7/1000000</f>
        <v>9.9999999999999995E-7</v>
      </c>
      <c r="D3" s="12">
        <f>C3*H1</f>
        <v>8.9999999999999999E-11</v>
      </c>
      <c r="E3" s="13">
        <f>1000000*(D3/B3)</f>
        <v>8.9470335613170047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75.652966438682995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8.9470335613170047</v>
      </c>
      <c r="I18" s="59">
        <f>H18*1.4</f>
        <v>12.525846985843806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33.352966438682991</v>
      </c>
      <c r="I19">
        <f>H19*1.4</f>
        <v>46.694153014156186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10.059200000000001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37.577540957531419</v>
      </c>
      <c r="I23" s="59"/>
      <c r="J23" s="112"/>
      <c r="K23" s="115"/>
      <c r="L23" s="63"/>
      <c r="M23" s="62" t="s">
        <v>21</v>
      </c>
      <c r="N23" s="64">
        <f>H24+H23</f>
        <v>177.65999999999997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140.08245904246854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28232.74</v>
      </c>
      <c r="D25" s="128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f>C26*C25*1000</f>
        <v>2.5409466000000003E-3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opLeftCell="D1" zoomScale="91" zoomScaleNormal="52" workbookViewId="0">
      <selection activeCell="L7" sqref="L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1"/>
      <c r="K2" s="91"/>
    </row>
    <row r="3" spans="1:15" ht="15" thickBot="1" x14ac:dyDescent="0.35">
      <c r="A3" s="9" t="s">
        <v>7</v>
      </c>
      <c r="B3" s="10">
        <f>K21/1000000</f>
        <v>9.3863000000000002E-6</v>
      </c>
      <c r="C3" s="11">
        <f>L7/1000000</f>
        <v>9.9999999999999995E-7</v>
      </c>
      <c r="D3" s="12">
        <f>C3*H1</f>
        <v>8.9999999999999999E-11</v>
      </c>
      <c r="E3" s="13">
        <f>1000000*(D3/B3)</f>
        <v>9.5884427303623347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75.011557269637663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45</v>
      </c>
      <c r="N16" s="108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9.5884427303623347</v>
      </c>
      <c r="I18" s="59">
        <f>H18*1.4</f>
        <v>13.423819822507268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32.711557269637666</v>
      </c>
      <c r="I19">
        <f>H19*1.4</f>
        <v>45.79618017749273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9.3863000000000003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11.34</v>
      </c>
      <c r="I22" s="59"/>
      <c r="J22" s="111"/>
      <c r="K22" s="114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40.271459467521801</v>
      </c>
      <c r="I23" s="59"/>
      <c r="J23" s="112"/>
      <c r="K23" s="115"/>
      <c r="L23" s="63"/>
      <c r="M23" s="62" t="s">
        <v>21</v>
      </c>
      <c r="N23" s="64">
        <f>H24+H23</f>
        <v>177.66</v>
      </c>
    </row>
    <row r="24" spans="1:14" x14ac:dyDescent="0.3">
      <c r="A24" s="127" t="s">
        <v>46</v>
      </c>
      <c r="B24" s="127"/>
      <c r="C24" s="65">
        <f>(C4*H1)*1000000</f>
        <v>9.0000000000000011E-3</v>
      </c>
      <c r="D24" s="128" t="s">
        <v>47</v>
      </c>
      <c r="E24" s="53"/>
      <c r="G24" s="62" t="s">
        <v>21</v>
      </c>
      <c r="H24" s="64">
        <f>1.4*H19*($H$5*$H$4)</f>
        <v>137.3885405324782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28232.74</v>
      </c>
      <c r="D25" s="128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8.9999999999999999E-11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f>C26*C25*1000</f>
        <v>2.5409466000000003E-3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Sml_PpPCO</vt:lpstr>
      <vt:lpstr>Lrg_PpPCO</vt:lpstr>
      <vt:lpstr>GcPCO</vt:lpstr>
      <vt:lpstr>PuPCO</vt:lpstr>
      <vt:lpstr>Sml_FsPCO</vt:lpstr>
      <vt:lpstr>Lrg_FsPCO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2026-02-18T11:06:41Z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