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ome5458_ox_ac_uk/Documents/Year 4/Assay Calculations/GcPCO/"/>
    </mc:Choice>
  </mc:AlternateContent>
  <xr:revisionPtr revIDLastSave="0" documentId="8_{603CEE85-B07F-48ED-A243-218EE59CEAF1}" xr6:coauthVersionLast="47" xr6:coauthVersionMax="47" xr10:uidLastSave="{00000000-0000-0000-0000-000000000000}"/>
  <bookViews>
    <workbookView xWindow="-108" yWindow="-108" windowWidth="23256" windowHeight="13896" xr2:uid="{DDCF3E13-D2E2-4E14-AB9E-6AA60CE09D32}"/>
  </bookViews>
  <sheets>
    <sheet name="for 5 time points 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9" i="1"/>
  <c r="B9" i="1"/>
  <c r="C7" i="1"/>
  <c r="B7" i="1"/>
  <c r="B6" i="1"/>
  <c r="C5" i="1"/>
  <c r="B5" i="1"/>
  <c r="C4" i="1"/>
  <c r="B4" i="1"/>
  <c r="C3" i="1"/>
  <c r="B3" i="1"/>
  <c r="H1" i="1"/>
  <c r="D9" i="1" s="1"/>
  <c r="C24" i="1" l="1"/>
  <c r="D7" i="1"/>
  <c r="C26" i="1"/>
  <c r="C27" i="1" s="1"/>
  <c r="D6" i="1"/>
  <c r="E6" i="1"/>
  <c r="H17" i="1" s="1"/>
  <c r="H22" i="1" s="1"/>
  <c r="E7" i="1"/>
  <c r="M12" i="1" s="1"/>
  <c r="N12" i="1" s="1"/>
  <c r="E9" i="1"/>
  <c r="D5" i="1"/>
  <c r="E5" i="1" s="1"/>
  <c r="M10" i="1" s="1"/>
  <c r="N10" i="1" s="1"/>
  <c r="D3" i="1"/>
  <c r="E3" i="1" s="1"/>
  <c r="H18" i="1" s="1"/>
  <c r="D4" i="1"/>
  <c r="E4" i="1" s="1"/>
  <c r="I17" i="1" l="1"/>
  <c r="N22" i="1"/>
  <c r="M15" i="1"/>
  <c r="N15" i="1" s="1"/>
  <c r="M13" i="1"/>
  <c r="H10" i="1"/>
  <c r="J10" i="1" s="1"/>
  <c r="I18" i="1"/>
  <c r="H23" i="1"/>
  <c r="E8" i="1"/>
  <c r="H19" i="1"/>
  <c r="H24" i="1" l="1"/>
  <c r="N23" i="1" s="1"/>
  <c r="I19" i="1"/>
  <c r="I20" i="1" s="1"/>
  <c r="N13" i="1"/>
  <c r="N14" i="1" s="1"/>
  <c r="N16" i="1" s="1"/>
  <c r="M14" i="1"/>
  <c r="M16" i="1" s="1"/>
  <c r="H20" i="1"/>
  <c r="H25" i="1" l="1"/>
</calcChain>
</file>

<file path=xl/sharedStrings.xml><?xml version="1.0" encoding="utf-8"?>
<sst xmlns="http://schemas.openxmlformats.org/spreadsheetml/2006/main" count="140" uniqueCount="84">
  <si>
    <t>Reagent</t>
  </si>
  <si>
    <t>Stock Conc (M)</t>
  </si>
  <si>
    <t>Rxn Conc (M)</t>
  </si>
  <si>
    <t>Moles Needed per rxn</t>
  </si>
  <si>
    <t>Volume per rxn (uL)</t>
  </si>
  <si>
    <t>Total Rxn Volume (dm3)</t>
  </si>
  <si>
    <t>Total Rxn Volume (uL)</t>
  </si>
  <si>
    <t>Enzyme</t>
  </si>
  <si>
    <t>Substrate</t>
  </si>
  <si>
    <t>n</t>
  </si>
  <si>
    <t>No Enz controls</t>
  </si>
  <si>
    <t>&lt;- These two are generally the same</t>
  </si>
  <si>
    <t>TCEP</t>
  </si>
  <si>
    <t>Substrates being tested</t>
  </si>
  <si>
    <t>Protein Batches</t>
  </si>
  <si>
    <t>FeSO4</t>
  </si>
  <si>
    <t xml:space="preserve">Total rxns </t>
  </si>
  <si>
    <t>Ascorbate</t>
  </si>
  <si>
    <t>Inhibitor Conc (mM)</t>
  </si>
  <si>
    <t>Enzyme Concentration (uM)</t>
  </si>
  <si>
    <t>Substrate Conc (uM)</t>
  </si>
  <si>
    <t>Buffer</t>
  </si>
  <si>
    <t>Inhibitor</t>
  </si>
  <si>
    <t>per rxn (uL)</t>
  </si>
  <si>
    <t>MM (uL)</t>
  </si>
  <si>
    <t>Master Mix Needed</t>
  </si>
  <si>
    <t>Make:</t>
  </si>
  <si>
    <t>MM1 is TCEP, Ascorbate, Substrate and Buffer</t>
  </si>
  <si>
    <t>Cofactors</t>
  </si>
  <si>
    <t>Stock Conc</t>
  </si>
  <si>
    <t>Rxn Conc</t>
  </si>
  <si>
    <t>Substrate Stock Conc (mM)</t>
  </si>
  <si>
    <t>TCEP (mM)</t>
  </si>
  <si>
    <t>Total</t>
  </si>
  <si>
    <t>FeSO4 (uM)</t>
  </si>
  <si>
    <t>Ascorbate (mM)</t>
  </si>
  <si>
    <t>uL needed</t>
  </si>
  <si>
    <t>make</t>
  </si>
  <si>
    <t>Total (with Substrate)</t>
  </si>
  <si>
    <t>FeSO4 per rxn</t>
  </si>
  <si>
    <r>
      <t xml:space="preserve">Protocol: Heat thermomixed to desired temperature and put reaction plate in. Add </t>
    </r>
    <r>
      <rPr>
        <b/>
        <sz val="8"/>
        <color theme="1"/>
        <rFont val="Calibri"/>
        <family val="2"/>
        <scheme val="minor"/>
      </rPr>
      <t>17.5</t>
    </r>
    <r>
      <rPr>
        <sz val="8"/>
        <color theme="1"/>
        <rFont val="Calibri"/>
        <family val="2"/>
        <scheme val="minor"/>
      </rPr>
      <t xml:space="preserve"> uL MM1 to A2,B2, C2, D2, E2, F2. Add </t>
    </r>
    <r>
      <rPr>
        <b/>
        <sz val="8"/>
        <color theme="1"/>
        <rFont val="Calibri"/>
        <family val="2"/>
        <scheme val="minor"/>
      </rPr>
      <t>19</t>
    </r>
    <r>
      <rPr>
        <sz val="8"/>
        <color theme="1"/>
        <rFont val="Calibri"/>
        <family val="2"/>
        <scheme val="minor"/>
      </rPr>
      <t xml:space="preserve"> uL MM0 to A1, B1, C1. Add </t>
    </r>
    <r>
      <rPr>
        <b/>
        <sz val="8"/>
        <color theme="1"/>
        <rFont val="Calibri"/>
        <family val="2"/>
        <scheme val="minor"/>
      </rPr>
      <t>19</t>
    </r>
    <r>
      <rPr>
        <sz val="8"/>
        <color theme="1"/>
        <rFont val="Calibri"/>
        <family val="2"/>
        <scheme val="minor"/>
      </rPr>
      <t xml:space="preserve"> uL EM to D1, E1, F1. Start timer for pre-incubation. When pre-incubation time is almost up take </t>
    </r>
    <r>
      <rPr>
        <b/>
        <sz val="8"/>
        <color theme="1"/>
        <rFont val="Calibri"/>
        <family val="2"/>
        <scheme val="minor"/>
      </rPr>
      <t>2.5</t>
    </r>
    <r>
      <rPr>
        <sz val="8"/>
        <color theme="1"/>
        <rFont val="Calibri"/>
        <family val="2"/>
        <scheme val="minor"/>
      </rPr>
      <t xml:space="preserve"> uL from wells A1-F1 and add to A1-F1 in quench plate. Add </t>
    </r>
    <r>
      <rPr>
        <b/>
        <sz val="8"/>
        <color theme="1"/>
        <rFont val="Calibri"/>
        <family val="2"/>
        <scheme val="minor"/>
      </rPr>
      <t>2.5</t>
    </r>
    <r>
      <rPr>
        <sz val="8"/>
        <color theme="1"/>
        <rFont val="Calibri"/>
        <family val="2"/>
        <scheme val="minor"/>
      </rPr>
      <t xml:space="preserve"> uL from wells A2-F2 to wells A1-F1 in quench plate. Stop and reset timer ready for assay. Add </t>
    </r>
    <r>
      <rPr>
        <b/>
        <sz val="8"/>
        <color theme="1"/>
        <rFont val="Calibri"/>
        <family val="2"/>
        <scheme val="minor"/>
      </rPr>
      <t>15</t>
    </r>
    <r>
      <rPr>
        <sz val="8"/>
        <color theme="1"/>
        <rFont val="Calibri"/>
        <family val="2"/>
        <scheme val="minor"/>
      </rPr>
      <t xml:space="preserve"> uL from wells A1-F1 to wells A2-F2 in reaction plate and mix by pipetting up and down 6-7 times. Start timer. At first time point take 5 uL from wells A2-F2 in reaction plate and add to wells A2-F2 in quench plate. Repeat for other time points using the appropriate column on the quench plate. </t>
    </r>
  </si>
  <si>
    <t>Enz per rxn</t>
  </si>
  <si>
    <t xml:space="preserve">Buffer per rxn </t>
  </si>
  <si>
    <t>EM</t>
  </si>
  <si>
    <t>Enzyme Stock Concentration (uM):</t>
  </si>
  <si>
    <t>MM0</t>
  </si>
  <si>
    <t>umols substrate per reaction:</t>
  </si>
  <si>
    <t>Needed to calculate turnover later</t>
  </si>
  <si>
    <t>MW enzyme (Da):</t>
  </si>
  <si>
    <t>MW</t>
  </si>
  <si>
    <t>EM is FeSO4, enzyme and buffer</t>
  </si>
  <si>
    <t>moles enzyme per reaction:</t>
  </si>
  <si>
    <t>PCO4</t>
  </si>
  <si>
    <t>mg enzyme per reaction:</t>
  </si>
  <si>
    <t>PCO5</t>
  </si>
  <si>
    <t>A</t>
  </si>
  <si>
    <t>MM1</t>
  </si>
  <si>
    <t>No enzyme controls</t>
  </si>
  <si>
    <t>n=1</t>
  </si>
  <si>
    <t>B</t>
  </si>
  <si>
    <t>n=2</t>
  </si>
  <si>
    <t>C</t>
  </si>
  <si>
    <t>n=3</t>
  </si>
  <si>
    <t>D</t>
  </si>
  <si>
    <t>Reaction wells</t>
  </si>
  <si>
    <t>E</t>
  </si>
  <si>
    <t>F</t>
  </si>
  <si>
    <t>G</t>
  </si>
  <si>
    <t>Quench Plate</t>
  </si>
  <si>
    <t>Time Point:</t>
  </si>
  <si>
    <t>0 time point</t>
  </si>
  <si>
    <t xml:space="preserve">time point 1 </t>
  </si>
  <si>
    <t>time point 2</t>
  </si>
  <si>
    <t>time point 3</t>
  </si>
  <si>
    <t>time point 4</t>
  </si>
  <si>
    <t>No Enz 1</t>
  </si>
  <si>
    <t>No Enz 2</t>
  </si>
  <si>
    <t>No Enz 3</t>
  </si>
  <si>
    <t>Reaction 1</t>
  </si>
  <si>
    <t>Reaction 2</t>
  </si>
  <si>
    <t>Reaction 3</t>
  </si>
  <si>
    <t>H</t>
  </si>
  <si>
    <t xml:space="preserve">All wells in use should have 45 uL of formic acid quench solution </t>
  </si>
  <si>
    <t>Reaction Plate - On Thermomixer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</si>
</sst>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2" fillId="0" borderId="1" xfId="0" applyFont="1" applyBorder="1"/>
    <xf numFmtId="11" fontId="2" fillId="0" borderId="1" xfId="0" applyNumberFormat="1" applyFont="1" applyBorder="1"/>
    <xf numFmtId="11" fontId="0" fillId="2" borderId="0" xfId="0" applyNumberFormat="1" applyFill="1"/>
    <xf numFmtId="0" fontId="0" fillId="2" borderId="0" xfId="0" applyFill="1"/>
    <xf numFmtId="0" fontId="0" fillId="0" borderId="1" xfId="0" applyBorder="1"/>
    <xf numFmtId="11" fontId="0" fillId="0" borderId="2" xfId="0" applyNumberFormat="1" applyBorder="1"/>
    <xf numFmtId="11" fontId="0" fillId="0" borderId="1" xfId="0" applyNumberFormat="1" applyBorder="1"/>
    <xf numFmtId="0" fontId="0" fillId="0" borderId="3" xfId="0" applyBorder="1"/>
    <xf numFmtId="0" fontId="2" fillId="3" borderId="4" xfId="0" applyFont="1" applyFill="1" applyBorder="1"/>
    <xf numFmtId="11" fontId="4" fillId="4" borderId="1" xfId="0" applyNumberFormat="1" applyFont="1" applyFill="1" applyBorder="1"/>
    <xf numFmtId="11" fontId="4" fillId="3" borderId="5" xfId="0" applyNumberFormat="1" applyFont="1" applyFill="1" applyBorder="1"/>
    <xf numFmtId="11" fontId="0" fillId="3" borderId="1" xfId="0" applyNumberFormat="1" applyFill="1" applyBorder="1"/>
    <xf numFmtId="164" fontId="0" fillId="3" borderId="1" xfId="0" applyNumberFormat="1" applyFill="1" applyBorder="1"/>
    <xf numFmtId="0" fontId="2" fillId="5" borderId="4" xfId="0" applyFont="1" applyFill="1" applyBorder="1"/>
    <xf numFmtId="11" fontId="4" fillId="5" borderId="5" xfId="0" applyNumberFormat="1" applyFont="1" applyFill="1" applyBorder="1"/>
    <xf numFmtId="11" fontId="0" fillId="5" borderId="1" xfId="0" applyNumberFormat="1" applyFill="1" applyBorder="1"/>
    <xf numFmtId="164" fontId="0" fillId="5" borderId="1" xfId="0" applyNumberFormat="1" applyFill="1" applyBorder="1"/>
    <xf numFmtId="0" fontId="1" fillId="0" borderId="6" xfId="0" applyFont="1" applyBorder="1"/>
    <xf numFmtId="0" fontId="0" fillId="0" borderId="2" xfId="0" applyBorder="1"/>
    <xf numFmtId="0" fontId="2" fillId="6" borderId="4" xfId="0" applyFont="1" applyFill="1" applyBorder="1"/>
    <xf numFmtId="11" fontId="4" fillId="6" borderId="5" xfId="0" applyNumberFormat="1" applyFont="1" applyFill="1" applyBorder="1"/>
    <xf numFmtId="11" fontId="0" fillId="6" borderId="1" xfId="0" applyNumberFormat="1" applyFill="1" applyBorder="1"/>
    <xf numFmtId="164" fontId="0" fillId="6" borderId="1" xfId="0" applyNumberFormat="1" applyFill="1" applyBorder="1"/>
    <xf numFmtId="0" fontId="1" fillId="0" borderId="7" xfId="0" applyFont="1" applyBorder="1"/>
    <xf numFmtId="0" fontId="2" fillId="6" borderId="8" xfId="0" applyFont="1" applyFill="1" applyBorder="1"/>
    <xf numFmtId="11" fontId="4" fillId="6" borderId="9" xfId="0" applyNumberFormat="1" applyFont="1" applyFill="1" applyBorder="1"/>
    <xf numFmtId="11" fontId="0" fillId="6" borderId="2" xfId="0" applyNumberFormat="1" applyFill="1" applyBorder="1"/>
    <xf numFmtId="164" fontId="0" fillId="6" borderId="2" xfId="0" applyNumberFormat="1" applyFill="1" applyBorder="1"/>
    <xf numFmtId="0" fontId="0" fillId="7" borderId="3" xfId="0" applyFill="1" applyBorder="1"/>
    <xf numFmtId="0" fontId="1" fillId="7" borderId="12" xfId="0" applyFont="1" applyFill="1" applyBorder="1"/>
    <xf numFmtId="165" fontId="1" fillId="0" borderId="13" xfId="0" applyNumberFormat="1" applyFont="1" applyBorder="1"/>
    <xf numFmtId="0" fontId="2" fillId="8" borderId="1" xfId="0" applyFont="1" applyFill="1" applyBorder="1"/>
    <xf numFmtId="11" fontId="0" fillId="8" borderId="14" xfId="0" applyNumberFormat="1" applyFill="1" applyBorder="1"/>
    <xf numFmtId="11" fontId="0" fillId="8" borderId="1" xfId="0" applyNumberFormat="1" applyFill="1" applyBorder="1"/>
    <xf numFmtId="2" fontId="0" fillId="8" borderId="1" xfId="0" applyNumberFormat="1" applyFill="1" applyBorder="1"/>
    <xf numFmtId="0" fontId="2" fillId="7" borderId="15" xfId="0" applyFont="1" applyFill="1" applyBorder="1"/>
    <xf numFmtId="11" fontId="4" fillId="7" borderId="1" xfId="0" applyNumberFormat="1" applyFont="1" applyFill="1" applyBorder="1"/>
    <xf numFmtId="11" fontId="0" fillId="7" borderId="16" xfId="0" applyNumberFormat="1" applyFill="1" applyBorder="1"/>
    <xf numFmtId="11" fontId="0" fillId="7" borderId="14" xfId="0" applyNumberFormat="1" applyFill="1" applyBorder="1"/>
    <xf numFmtId="164" fontId="0" fillId="7" borderId="14" xfId="0" applyNumberFormat="1" applyFill="1" applyBorder="1"/>
    <xf numFmtId="11" fontId="0" fillId="0" borderId="0" xfId="0" applyNumberFormat="1"/>
    <xf numFmtId="1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0" fontId="2" fillId="0" borderId="17" xfId="0" applyFont="1" applyBorder="1"/>
    <xf numFmtId="11" fontId="2" fillId="0" borderId="18" xfId="0" applyNumberFormat="1" applyFont="1" applyBorder="1"/>
    <xf numFmtId="11" fontId="2" fillId="0" borderId="19" xfId="0" applyNumberFormat="1" applyFont="1" applyBorder="1"/>
    <xf numFmtId="11" fontId="0" fillId="0" borderId="10" xfId="0" applyNumberFormat="1" applyBorder="1"/>
    <xf numFmtId="1" fontId="1" fillId="9" borderId="13" xfId="0" applyNumberFormat="1" applyFont="1" applyFill="1" applyBorder="1"/>
    <xf numFmtId="0" fontId="2" fillId="6" borderId="22" xfId="0" applyFont="1" applyFill="1" applyBorder="1"/>
    <xf numFmtId="1" fontId="1" fillId="0" borderId="23" xfId="0" applyNumberFormat="1" applyFont="1" applyBorder="1"/>
    <xf numFmtId="1" fontId="1" fillId="0" borderId="24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1" fontId="1" fillId="7" borderId="24" xfId="0" applyNumberFormat="1" applyFont="1" applyFill="1" applyBorder="1" applyAlignment="1">
      <alignment vertical="center"/>
    </xf>
    <xf numFmtId="0" fontId="2" fillId="9" borderId="1" xfId="0" applyFont="1" applyFill="1" applyBorder="1"/>
    <xf numFmtId="0" fontId="2" fillId="6" borderId="25" xfId="0" applyFont="1" applyFill="1" applyBorder="1"/>
    <xf numFmtId="1" fontId="1" fillId="0" borderId="26" xfId="0" applyNumberFormat="1" applyFont="1" applyBorder="1"/>
    <xf numFmtId="1" fontId="1" fillId="0" borderId="27" xfId="0" applyNumberFormat="1" applyFont="1" applyBorder="1" applyAlignment="1">
      <alignment vertical="center"/>
    </xf>
    <xf numFmtId="2" fontId="0" fillId="0" borderId="0" xfId="0" applyNumberFormat="1"/>
    <xf numFmtId="1" fontId="0" fillId="0" borderId="0" xfId="0" applyNumberFormat="1"/>
    <xf numFmtId="0" fontId="2" fillId="3" borderId="1" xfId="0" applyFont="1" applyFill="1" applyBorder="1"/>
    <xf numFmtId="0" fontId="0" fillId="3" borderId="1" xfId="0" applyFill="1" applyBorder="1"/>
    <xf numFmtId="0" fontId="0" fillId="0" borderId="0" xfId="0" applyAlignment="1">
      <alignment vertical="center" wrapText="1"/>
    </xf>
    <xf numFmtId="2" fontId="2" fillId="3" borderId="1" xfId="0" applyNumberFormat="1" applyFont="1" applyFill="1" applyBorder="1"/>
    <xf numFmtId="11" fontId="7" fillId="0" borderId="1" xfId="0" applyNumberFormat="1" applyFont="1" applyBorder="1" applyAlignment="1">
      <alignment vertical="center"/>
    </xf>
    <xf numFmtId="11" fontId="1" fillId="0" borderId="1" xfId="0" applyNumberFormat="1" applyFont="1" applyBorder="1"/>
    <xf numFmtId="11" fontId="0" fillId="10" borderId="1" xfId="0" applyNumberFormat="1" applyFill="1" applyBorder="1"/>
    <xf numFmtId="0" fontId="0" fillId="10" borderId="1" xfId="0" applyFill="1" applyBorder="1"/>
    <xf numFmtId="0" fontId="0" fillId="3" borderId="5" xfId="0" applyFill="1" applyBorder="1"/>
    <xf numFmtId="2" fontId="0" fillId="3" borderId="1" xfId="0" applyNumberFormat="1" applyFill="1" applyBorder="1"/>
    <xf numFmtId="11" fontId="7" fillId="0" borderId="1" xfId="0" applyNumberFormat="1" applyFont="1" applyBorder="1"/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6" borderId="1" xfId="0" applyFill="1" applyBorder="1"/>
    <xf numFmtId="0" fontId="0" fillId="4" borderId="1" xfId="0" applyFill="1" applyBorder="1"/>
    <xf numFmtId="0" fontId="0" fillId="0" borderId="36" xfId="0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0" fillId="0" borderId="28" xfId="0" applyBorder="1" applyAlignment="1">
      <alignment wrapText="1"/>
    </xf>
    <xf numFmtId="0" fontId="0" fillId="4" borderId="28" xfId="0" applyFill="1" applyBorder="1" applyAlignment="1">
      <alignment wrapText="1"/>
    </xf>
    <xf numFmtId="0" fontId="0" fillId="0" borderId="4" xfId="0" applyBorder="1" applyAlignment="1">
      <alignment wrapText="1"/>
    </xf>
    <xf numFmtId="0" fontId="11" fillId="0" borderId="1" xfId="0" applyFont="1" applyBorder="1"/>
    <xf numFmtId="0" fontId="0" fillId="11" borderId="1" xfId="0" applyFill="1" applyBorder="1"/>
    <xf numFmtId="0" fontId="0" fillId="4" borderId="4" xfId="0" applyFill="1" applyBorder="1" applyAlignment="1">
      <alignment wrapText="1"/>
    </xf>
    <xf numFmtId="0" fontId="0" fillId="0" borderId="4" xfId="0" applyBorder="1"/>
    <xf numFmtId="0" fontId="11" fillId="0" borderId="1" xfId="0" applyFont="1" applyBorder="1" applyAlignment="1">
      <alignment wrapText="1"/>
    </xf>
    <xf numFmtId="0" fontId="4" fillId="0" borderId="0" xfId="0" applyFont="1"/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0" xfId="0"/>
    <xf numFmtId="0" fontId="0" fillId="0" borderId="1" xfId="0" applyBorder="1" applyAlignment="1">
      <alignment horizontal="left" wrapText="1"/>
    </xf>
    <xf numFmtId="1" fontId="0" fillId="0" borderId="2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0" borderId="29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2" xfId="0" applyFont="1" applyFill="1" applyBorder="1" applyAlignment="1">
      <alignment horizontal="center" vertical="center" wrapText="1"/>
    </xf>
    <xf numFmtId="0" fontId="1" fillId="7" borderId="3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7" borderId="15" xfId="0" applyFill="1" applyBorder="1" applyAlignment="1">
      <alignment horizontal="center" wrapText="1"/>
    </xf>
    <xf numFmtId="0" fontId="0" fillId="7" borderId="35" xfId="0" applyFill="1" applyBorder="1" applyAlignment="1">
      <alignment horizontal="center" wrapText="1"/>
    </xf>
    <xf numFmtId="0" fontId="0" fillId="7" borderId="16" xfId="0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3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0DF15-60AA-4295-B2AF-1F2F71FD85B1}">
  <sheetPr>
    <pageSetUpPr fitToPage="1"/>
  </sheetPr>
  <dimension ref="A1:O51"/>
  <sheetViews>
    <sheetView tabSelected="1" topLeftCell="D1" zoomScale="91" zoomScaleNormal="52" workbookViewId="0">
      <selection activeCell="K24" sqref="K24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5.0000000000000002E-5</v>
      </c>
      <c r="J1" s="90"/>
      <c r="K1" s="91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50</v>
      </c>
      <c r="J2" s="91"/>
      <c r="K2" s="91"/>
    </row>
    <row r="3" spans="1:15" ht="15" thickBot="1" x14ac:dyDescent="0.35">
      <c r="A3" s="9" t="s">
        <v>7</v>
      </c>
      <c r="B3" s="10">
        <f>K21/1000000</f>
        <v>1.0086700000000001E-5</v>
      </c>
      <c r="C3" s="11">
        <f>L7/1000000</f>
        <v>9.9999999999999995E-7</v>
      </c>
      <c r="D3" s="12">
        <f>C3*H1</f>
        <v>5.0000000000000002E-11</v>
      </c>
      <c r="E3" s="13">
        <f>1000000*(D3/B3)</f>
        <v>4.9570226139371645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5.0000000000000001E-9</v>
      </c>
      <c r="E4" s="17">
        <f>1000000*(D4/B4)</f>
        <v>0.5</v>
      </c>
      <c r="G4" s="8" t="s">
        <v>9</v>
      </c>
      <c r="H4" s="18">
        <v>3</v>
      </c>
      <c r="J4" s="19" t="s">
        <v>10</v>
      </c>
      <c r="K4" s="19">
        <v>1</v>
      </c>
      <c r="L4" s="92" t="s">
        <v>11</v>
      </c>
      <c r="M4" s="92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2.5000000000000004E-7</v>
      </c>
      <c r="E5" s="23">
        <f>1000000*(D5/B5)</f>
        <v>0.50000000000000011</v>
      </c>
      <c r="G5" s="8" t="s">
        <v>13</v>
      </c>
      <c r="H5" s="24">
        <v>1</v>
      </c>
      <c r="J5" s="8" t="s">
        <v>14</v>
      </c>
      <c r="K5" s="18">
        <v>1</v>
      </c>
      <c r="L5" s="92"/>
      <c r="M5" s="92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3.0000000000000004E-9</v>
      </c>
      <c r="E6" s="23">
        <f>1000000*(D6/B6)</f>
        <v>1.5000000000000002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5.0000000000000004E-8</v>
      </c>
      <c r="E7" s="28">
        <f>1000000*(D7/B7)</f>
        <v>0.5</v>
      </c>
      <c r="G7" s="29" t="s">
        <v>18</v>
      </c>
      <c r="H7" s="18">
        <v>0</v>
      </c>
      <c r="J7" s="93" t="s">
        <v>19</v>
      </c>
      <c r="K7" s="94"/>
      <c r="L7" s="30">
        <v>1</v>
      </c>
      <c r="M7" s="95" t="s">
        <v>20</v>
      </c>
      <c r="N7" s="96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42.042977386062837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147</v>
      </c>
      <c r="I10" s="5" t="s">
        <v>26</v>
      </c>
      <c r="J10" s="5">
        <f>H10*1.2</f>
        <v>176.4</v>
      </c>
      <c r="K10" s="5"/>
      <c r="L10" s="5" t="s">
        <v>12</v>
      </c>
      <c r="M10" s="43">
        <f>E5</f>
        <v>0.50000000000000011</v>
      </c>
      <c r="N10" s="1">
        <f>1.2*M10*H6</f>
        <v>3.6000000000000005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97" t="s">
        <v>27</v>
      </c>
      <c r="H12" s="98"/>
      <c r="I12" s="5"/>
      <c r="J12" s="5"/>
      <c r="K12" s="5"/>
      <c r="L12" s="5" t="s">
        <v>17</v>
      </c>
      <c r="M12" s="43">
        <f>E7</f>
        <v>0.5</v>
      </c>
      <c r="N12" s="1">
        <f>1.2*M12*H6</f>
        <v>3.5999999999999996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99"/>
      <c r="H13" s="100"/>
      <c r="I13" s="5"/>
      <c r="J13" s="5"/>
      <c r="K13" s="5"/>
      <c r="L13" s="5" t="s">
        <v>21</v>
      </c>
      <c r="M13" s="43">
        <f>(H2/2)-SUM(M10:M12)-E4-E9</f>
        <v>23.5</v>
      </c>
      <c r="N13" s="1">
        <f>1.2*M13*H6</f>
        <v>169.2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3"/>
      <c r="G14" s="101"/>
      <c r="H14" s="102"/>
      <c r="I14" s="5"/>
      <c r="J14" s="5"/>
      <c r="K14" s="5"/>
      <c r="L14" s="5" t="s">
        <v>33</v>
      </c>
      <c r="M14" s="5">
        <f>SUM(M10:M13)</f>
        <v>24.5</v>
      </c>
      <c r="N14" s="5">
        <f>SUM(N10:N13)</f>
        <v>176.39999999999998</v>
      </c>
    </row>
    <row r="15" spans="1:15" x14ac:dyDescent="0.3">
      <c r="A15" s="50" t="s">
        <v>34</v>
      </c>
      <c r="B15" s="51">
        <v>2000</v>
      </c>
      <c r="C15" s="54">
        <v>20</v>
      </c>
      <c r="D15" s="103"/>
      <c r="E15" s="103"/>
      <c r="L15" s="5" t="s">
        <v>8</v>
      </c>
      <c r="M15" s="42">
        <f>E4</f>
        <v>0.5</v>
      </c>
      <c r="N15" s="55">
        <f>1.2*M15*H6</f>
        <v>3.5999999999999996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3"/>
      <c r="E16" s="103"/>
      <c r="H16" t="s">
        <v>36</v>
      </c>
      <c r="I16" t="s">
        <v>37</v>
      </c>
      <c r="L16" s="104" t="s">
        <v>38</v>
      </c>
      <c r="M16" s="105">
        <f>M14+M15</f>
        <v>25</v>
      </c>
      <c r="N16" s="108">
        <f>SUM(N14:N15)</f>
        <v>179.99999999999997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1.5000000000000002</v>
      </c>
      <c r="I17" s="59">
        <f>H17*1.2</f>
        <v>1.8000000000000003</v>
      </c>
      <c r="L17" s="104"/>
      <c r="M17" s="106"/>
      <c r="N17" s="106"/>
    </row>
    <row r="18" spans="1:14" x14ac:dyDescent="0.3">
      <c r="A18" s="109" t="s">
        <v>40</v>
      </c>
      <c r="B18" s="109"/>
      <c r="C18" s="109"/>
      <c r="D18" s="109"/>
      <c r="E18" s="109"/>
      <c r="G18" t="s">
        <v>41</v>
      </c>
      <c r="H18" s="59">
        <f>E3</f>
        <v>4.9570226139371645</v>
      </c>
      <c r="I18" s="59">
        <f>H18*1.2</f>
        <v>5.9484271367245976</v>
      </c>
      <c r="L18" s="104"/>
      <c r="M18" s="107"/>
      <c r="N18" s="107"/>
    </row>
    <row r="19" spans="1:14" ht="15" customHeight="1" x14ac:dyDescent="0.3">
      <c r="A19" s="109"/>
      <c r="B19" s="109"/>
      <c r="C19" s="109"/>
      <c r="D19" s="109"/>
      <c r="E19" s="109"/>
      <c r="G19" t="s">
        <v>42</v>
      </c>
      <c r="H19" s="59">
        <f>(H2/2)-H17-H18</f>
        <v>18.542977386062837</v>
      </c>
      <c r="I19">
        <f>H19*1.2</f>
        <v>22.251572863275403</v>
      </c>
    </row>
    <row r="20" spans="1:14" ht="15.75" customHeight="1" thickBot="1" x14ac:dyDescent="0.35">
      <c r="A20" s="109"/>
      <c r="B20" s="109"/>
      <c r="C20" s="109"/>
      <c r="D20" s="109"/>
      <c r="E20" s="109"/>
      <c r="G20" t="s">
        <v>33</v>
      </c>
      <c r="H20" s="60">
        <f>SUM(H17:H19)</f>
        <v>25</v>
      </c>
      <c r="I20" s="60">
        <f>SUM(I17:I19)</f>
        <v>30</v>
      </c>
    </row>
    <row r="21" spans="1:14" ht="15" customHeight="1" x14ac:dyDescent="0.3">
      <c r="A21" s="109"/>
      <c r="B21" s="109"/>
      <c r="C21" s="109"/>
      <c r="D21" s="109"/>
      <c r="E21" s="109"/>
      <c r="G21" s="61" t="s">
        <v>43</v>
      </c>
      <c r="H21" s="62"/>
      <c r="J21" s="110" t="s">
        <v>44</v>
      </c>
      <c r="K21" s="113">
        <v>10.0867</v>
      </c>
      <c r="L21" s="63"/>
      <c r="M21" s="63" t="s">
        <v>45</v>
      </c>
    </row>
    <row r="22" spans="1:14" ht="15" customHeight="1" x14ac:dyDescent="0.3">
      <c r="A22" s="109"/>
      <c r="B22" s="109"/>
      <c r="C22" s="109"/>
      <c r="D22" s="109"/>
      <c r="E22" s="109"/>
      <c r="G22" s="62" t="s">
        <v>15</v>
      </c>
      <c r="H22" s="64">
        <f>1.2*H17*($H$5*$H$4)</f>
        <v>5.4</v>
      </c>
      <c r="I22" s="59"/>
      <c r="J22" s="111"/>
      <c r="K22" s="114"/>
      <c r="L22" s="63"/>
      <c r="M22" s="62" t="s">
        <v>15</v>
      </c>
      <c r="N22" s="64">
        <f>H22</f>
        <v>5.4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1.2*H18*($H$5*$H$4)</f>
        <v>17.845281410173794</v>
      </c>
      <c r="I23" s="59"/>
      <c r="J23" s="112"/>
      <c r="K23" s="115"/>
      <c r="L23" s="63"/>
      <c r="M23" s="62" t="s">
        <v>21</v>
      </c>
      <c r="N23" s="64">
        <f>H24+H23</f>
        <v>84.600000000000009</v>
      </c>
    </row>
    <row r="24" spans="1:14" x14ac:dyDescent="0.3">
      <c r="A24" s="127" t="s">
        <v>46</v>
      </c>
      <c r="B24" s="127"/>
      <c r="C24" s="65">
        <f>(C4*H1)*1000000</f>
        <v>5.0000000000000001E-3</v>
      </c>
      <c r="D24" s="128" t="s">
        <v>47</v>
      </c>
      <c r="E24" s="53"/>
      <c r="G24" s="62" t="s">
        <v>21</v>
      </c>
      <c r="H24" s="64">
        <f>1.2*H19*($H$5*$H$4)</f>
        <v>66.754718589826211</v>
      </c>
      <c r="J24" s="63"/>
      <c r="K24" s="63"/>
      <c r="L24" s="63"/>
    </row>
    <row r="25" spans="1:14" x14ac:dyDescent="0.3">
      <c r="A25" s="129" t="s">
        <v>48</v>
      </c>
      <c r="B25" s="129"/>
      <c r="C25" s="66">
        <v>30634.39</v>
      </c>
      <c r="D25" s="128"/>
      <c r="E25" s="67"/>
      <c r="F25" s="68" t="s">
        <v>49</v>
      </c>
      <c r="G25" s="69" t="s">
        <v>33</v>
      </c>
      <c r="H25" s="70">
        <f>SUM(H22:H24)</f>
        <v>90</v>
      </c>
      <c r="J25" s="63" t="s">
        <v>50</v>
      </c>
      <c r="K25" s="63"/>
      <c r="L25" s="63"/>
      <c r="M25" s="63"/>
    </row>
    <row r="26" spans="1:14" x14ac:dyDescent="0.3">
      <c r="A26" s="129" t="s">
        <v>51</v>
      </c>
      <c r="B26" s="129"/>
      <c r="C26" s="7">
        <f>C3*H1</f>
        <v>5.0000000000000002E-11</v>
      </c>
      <c r="D26" s="128"/>
      <c r="E26" s="67" t="s">
        <v>52</v>
      </c>
      <c r="F26" s="68">
        <v>29346</v>
      </c>
    </row>
    <row r="27" spans="1:14" x14ac:dyDescent="0.3">
      <c r="A27" s="129" t="s">
        <v>53</v>
      </c>
      <c r="B27" s="129"/>
      <c r="C27" s="71">
        <f>C26*C25*1000</f>
        <v>1.5317195000000001E-3</v>
      </c>
      <c r="D27" s="128"/>
      <c r="E27" s="67" t="s">
        <v>54</v>
      </c>
      <c r="F27" s="68">
        <v>29386</v>
      </c>
    </row>
    <row r="29" spans="1:14" x14ac:dyDescent="0.3">
      <c r="A29" s="130" t="s">
        <v>83</v>
      </c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116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117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118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119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120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121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122" t="s">
        <v>68</v>
      </c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124" t="s">
        <v>82</v>
      </c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6"/>
    </row>
  </sheetData>
  <mergeCells count="23"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  <mergeCell ref="D15:D16"/>
    <mergeCell ref="L16:L18"/>
    <mergeCell ref="M16:M18"/>
    <mergeCell ref="N16:N18"/>
    <mergeCell ref="A18:E22"/>
    <mergeCell ref="J21:J23"/>
    <mergeCell ref="K21:K23"/>
    <mergeCell ref="E14:E16"/>
    <mergeCell ref="J1:K2"/>
    <mergeCell ref="L4:M5"/>
    <mergeCell ref="J7:K7"/>
    <mergeCell ref="M7:N7"/>
    <mergeCell ref="G12:H14"/>
  </mergeCells>
  <pageMargins left="0.7" right="0.7" top="0.75" bottom="0.75" header="0.3" footer="0.3"/>
  <pageSetup paperSize="9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AD69E-E3DE-4BD7-AC6B-361FA1C48C5B}">
  <dimension ref="B1:B6"/>
  <sheetViews>
    <sheetView workbookViewId="0">
      <selection activeCell="H35" sqref="H35"/>
    </sheetView>
  </sheetViews>
  <sheetFormatPr defaultColWidth="8.88671875" defaultRowHeight="14.4" x14ac:dyDescent="0.3"/>
  <cols>
    <col min="1" max="1" width="13.33203125" customWidth="1"/>
    <col min="2" max="2" width="20.44140625" customWidth="1"/>
  </cols>
  <sheetData>
    <row r="1" spans="2:2" x14ac:dyDescent="0.3">
      <c r="B1" s="89"/>
    </row>
    <row r="2" spans="2:2" x14ac:dyDescent="0.3">
      <c r="B2" s="89"/>
    </row>
    <row r="3" spans="2:2" x14ac:dyDescent="0.3">
      <c r="B3" s="89"/>
    </row>
    <row r="4" spans="2:2" x14ac:dyDescent="0.3">
      <c r="B4" s="89"/>
    </row>
    <row r="5" spans="2:2" x14ac:dyDescent="0.3">
      <c r="B5" s="89"/>
    </row>
    <row r="6" spans="2:2" x14ac:dyDescent="0.3">
      <c r="B6" s="89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52EDE2F4945B419B69DE19452F0F16" ma:contentTypeVersion="16" ma:contentTypeDescription="Create a new document." ma:contentTypeScope="" ma:versionID="3316eb75a80975a24122714ed5f06cc6">
  <xsd:schema xmlns:xsd="http://www.w3.org/2001/XMLSchema" xmlns:xs="http://www.w3.org/2001/XMLSchema" xmlns:p="http://schemas.microsoft.com/office/2006/metadata/properties" xmlns:ns2="96fb25fc-3784-47cf-8a82-09f438381668" xmlns:ns3="fc8bd621-3187-492f-a172-823cba7be7d4" targetNamespace="http://schemas.microsoft.com/office/2006/metadata/properties" ma:root="true" ma:fieldsID="0c4fbab3a5d75f9fed625cb0bda077a7" ns2:_="" ns3:_="">
    <xsd:import namespace="96fb25fc-3784-47cf-8a82-09f438381668"/>
    <xsd:import namespace="fc8bd621-3187-492f-a172-823cba7be7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b25fc-3784-47cf-8a82-09f4383816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8bd621-3187-492f-a172-823cba7be7d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7fea4e6-9944-4b0c-974d-0dc698d81eb4}" ma:internalName="TaxCatchAll" ma:showField="CatchAllData" ma:web="fc8bd621-3187-492f-a172-823cba7be7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fb25fc-3784-47cf-8a82-09f438381668">
      <Terms xmlns="http://schemas.microsoft.com/office/infopath/2007/PartnerControls"/>
    </lcf76f155ced4ddcb4097134ff3c332f>
    <TaxCatchAll xmlns="fc8bd621-3187-492f-a172-823cba7be7d4" xsi:nil="true"/>
  </documentManagement>
</p:properties>
</file>

<file path=customXml/itemProps1.xml><?xml version="1.0" encoding="utf-8"?>
<ds:datastoreItem xmlns:ds="http://schemas.openxmlformats.org/officeDocument/2006/customXml" ds:itemID="{72382BBC-13EF-470E-86C9-89110DF220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fb25fc-3784-47cf-8a82-09f438381668"/>
    <ds:schemaRef ds:uri="fc8bd621-3187-492f-a172-823cba7be7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CA15EA-9E3F-472C-AE7A-DC52430A26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39696D-F5EF-4074-BA8D-369D72C030D3}">
  <ds:schemaRefs>
    <ds:schemaRef ds:uri="http://schemas.microsoft.com/office/2006/metadata/properties"/>
    <ds:schemaRef ds:uri="http://schemas.microsoft.com/office/infopath/2007/PartnerControls"/>
    <ds:schemaRef ds:uri="96fb25fc-3784-47cf-8a82-09f438381668"/>
    <ds:schemaRef ds:uri="fc8bd621-3187-492f-a172-823cba7be7d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 5 time points </vt:lpstr>
      <vt:lpstr>Sheet1</vt:lpstr>
    </vt:vector>
  </TitlesOfParts>
  <Manager/>
  <Company>University of Oxford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Dona Gunawardana</dc:creator>
  <cp:keywords/>
  <dc:description/>
  <cp:lastModifiedBy>Oliver Eyre</cp:lastModifiedBy>
  <cp:revision/>
  <dcterms:created xsi:type="dcterms:W3CDTF">2022-08-15T11:58:52Z</dcterms:created>
  <dcterms:modified xsi:type="dcterms:W3CDTF">2026-01-19T11:56:05Z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0x0101006D52EDE2F4945B419B69DE19452F0F16</vt:lpwstr>
  </property>
  <property fmtid="{D5CDD505-2E9C-101B-9397-08002B2CF9AE}" pid="3" name="MediaServiceImageTags">
    <vt:lpwstr/>
  </property>
</Properties>
</file>