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"/>
    </mc:Choice>
  </mc:AlternateContent>
  <xr:revisionPtr revIDLastSave="0" documentId="8_{AD7CB86D-6E21-4BB3-9D55-989CF142CED9}" xr6:coauthVersionLast="47" xr6:coauthVersionMax="47" xr10:uidLastSave="{00000000-0000-0000-0000-000000000000}"/>
  <bookViews>
    <workbookView xWindow="-108" yWindow="-108" windowWidth="23256" windowHeight="13896" xr2:uid="{DDCF3E13-D2E2-4E14-AB9E-6AA60CE09D32}"/>
  </bookViews>
  <sheets>
    <sheet name="for 5 time points 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C9" i="1"/>
  <c r="B9" i="1"/>
  <c r="C7" i="1"/>
  <c r="D7" i="1" s="1"/>
  <c r="B7" i="1"/>
  <c r="B6" i="1"/>
  <c r="C5" i="1"/>
  <c r="B5" i="1"/>
  <c r="C4" i="1"/>
  <c r="C24" i="1" s="1"/>
  <c r="B4" i="1"/>
  <c r="C3" i="1"/>
  <c r="C26" i="1" s="1"/>
  <c r="C27" i="1" s="1"/>
  <c r="B3" i="1"/>
  <c r="H1" i="1"/>
  <c r="D9" i="1" s="1"/>
  <c r="E6" i="1" l="1"/>
  <c r="H17" i="1" s="1"/>
  <c r="H22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I17" i="1" l="1"/>
  <c r="N22" i="1"/>
  <c r="M15" i="1"/>
  <c r="N15" i="1" s="1"/>
  <c r="M13" i="1"/>
  <c r="H10" i="1"/>
  <c r="J10" i="1" s="1"/>
  <c r="I18" i="1"/>
  <c r="H23" i="1"/>
  <c r="E8" i="1"/>
  <c r="H19" i="1"/>
  <c r="H24" i="1" l="1"/>
  <c r="N23" i="1" s="1"/>
  <c r="I19" i="1"/>
  <c r="I20" i="1" s="1"/>
  <c r="N13" i="1"/>
  <c r="N14" i="1" s="1"/>
  <c r="N16" i="1" s="1"/>
  <c r="M14" i="1"/>
  <c r="M16" i="1" s="1"/>
  <c r="H20" i="1"/>
  <c r="H25" i="1" l="1"/>
</calcChain>
</file>

<file path=xl/sharedStrings.xml><?xml version="1.0" encoding="utf-8"?>
<sst xmlns="http://schemas.openxmlformats.org/spreadsheetml/2006/main" count="140" uniqueCount="84">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</sst>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4" fillId="0" borderId="0" xfId="0" applyFont="1"/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abSelected="1" zoomScale="63" zoomScaleNormal="52" workbookViewId="0">
      <selection activeCell="C6" sqref="C6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3.4999999999999997E-5</v>
      </c>
      <c r="J1" s="118"/>
      <c r="K1" s="119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35</v>
      </c>
      <c r="J2" s="119"/>
      <c r="K2" s="119"/>
    </row>
    <row r="3" spans="1:15" ht="15" thickBot="1" x14ac:dyDescent="0.35">
      <c r="A3" s="9" t="s">
        <v>7</v>
      </c>
      <c r="B3" s="10">
        <f>K21/1000000</f>
        <v>9.0279999999999996E-5</v>
      </c>
      <c r="C3" s="11">
        <f>L7/1000000</f>
        <v>2.9999999999999999E-7</v>
      </c>
      <c r="D3" s="12">
        <f>C3*H1</f>
        <v>1.0499999999999999E-11</v>
      </c>
      <c r="E3" s="13">
        <f>1000000*(D3/B3)</f>
        <v>0.11630482941958351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1.5E-3</v>
      </c>
      <c r="D4" s="16">
        <f>C4*H1</f>
        <v>5.2499999999999994E-8</v>
      </c>
      <c r="E4" s="17">
        <f>1000000*(D4/B4)</f>
        <v>5.2499999999999991</v>
      </c>
      <c r="G4" s="8" t="s">
        <v>9</v>
      </c>
      <c r="H4" s="18">
        <v>3</v>
      </c>
      <c r="J4" s="19" t="s">
        <v>10</v>
      </c>
      <c r="K4" s="19">
        <v>1</v>
      </c>
      <c r="L4" s="120" t="s">
        <v>11</v>
      </c>
      <c r="M4" s="120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1.7499999999999999E-7</v>
      </c>
      <c r="E5" s="23">
        <f>1000000*(D5/B5)</f>
        <v>0.35</v>
      </c>
      <c r="G5" s="8" t="s">
        <v>13</v>
      </c>
      <c r="H5" s="24">
        <v>1</v>
      </c>
      <c r="J5" s="8" t="s">
        <v>14</v>
      </c>
      <c r="K5" s="18">
        <v>1</v>
      </c>
      <c r="L5" s="120"/>
      <c r="M5" s="120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2.0999999999999998E-9</v>
      </c>
      <c r="E6" s="23">
        <f>1000000*(D6/B6)</f>
        <v>1.0499999999999998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3.4999999999999996E-8</v>
      </c>
      <c r="E7" s="28">
        <f>1000000*(D7/B7)</f>
        <v>0.34999999999999992</v>
      </c>
      <c r="G7" s="29" t="s">
        <v>18</v>
      </c>
      <c r="H7" s="18">
        <v>0</v>
      </c>
      <c r="J7" s="121" t="s">
        <v>19</v>
      </c>
      <c r="K7" s="122"/>
      <c r="L7" s="30">
        <v>0.3</v>
      </c>
      <c r="M7" s="123" t="s">
        <v>20</v>
      </c>
      <c r="N7" s="124"/>
      <c r="O7" s="31">
        <v>1500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27.883695170580417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73.5</v>
      </c>
      <c r="I10" s="5" t="s">
        <v>26</v>
      </c>
      <c r="J10" s="5">
        <f>H10*1.2</f>
        <v>88.2</v>
      </c>
      <c r="K10" s="5"/>
      <c r="L10" s="5" t="s">
        <v>12</v>
      </c>
      <c r="M10" s="43">
        <f>E5</f>
        <v>0.35</v>
      </c>
      <c r="N10" s="1">
        <f>1.2*M10*H6</f>
        <v>2.52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5" t="s">
        <v>27</v>
      </c>
      <c r="H12" s="126"/>
      <c r="I12" s="5"/>
      <c r="J12" s="5"/>
      <c r="K12" s="5"/>
      <c r="L12" s="5" t="s">
        <v>17</v>
      </c>
      <c r="M12" s="43">
        <f>E7</f>
        <v>0.34999999999999992</v>
      </c>
      <c r="N12" s="1">
        <f>1.2*M12*H6</f>
        <v>2.5199999999999991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7"/>
      <c r="H13" s="128"/>
      <c r="I13" s="5"/>
      <c r="J13" s="5"/>
      <c r="K13" s="5"/>
      <c r="L13" s="5" t="s">
        <v>21</v>
      </c>
      <c r="M13" s="43">
        <f>(H2/2)-SUM(M10:M12)-E4-E9</f>
        <v>11.55</v>
      </c>
      <c r="N13" s="1">
        <f>1.2*M13*H6</f>
        <v>83.160000000000011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5"/>
      <c r="G14" s="129"/>
      <c r="H14" s="130"/>
      <c r="I14" s="5"/>
      <c r="J14" s="5"/>
      <c r="K14" s="5"/>
      <c r="L14" s="5" t="s">
        <v>33</v>
      </c>
      <c r="M14" s="5">
        <f>SUM(M10:M13)</f>
        <v>12.25</v>
      </c>
      <c r="N14" s="5">
        <f>SUM(N10:N13)</f>
        <v>88.200000000000017</v>
      </c>
    </row>
    <row r="15" spans="1:15" x14ac:dyDescent="0.3">
      <c r="A15" s="50" t="s">
        <v>34</v>
      </c>
      <c r="B15" s="51">
        <v>2000</v>
      </c>
      <c r="C15" s="54">
        <v>20</v>
      </c>
      <c r="D15" s="105"/>
      <c r="E15" s="105"/>
      <c r="L15" s="5" t="s">
        <v>8</v>
      </c>
      <c r="M15" s="42">
        <f>E4</f>
        <v>5.2499999999999991</v>
      </c>
      <c r="N15" s="55">
        <f>1.2*M15*H6</f>
        <v>37.799999999999997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5"/>
      <c r="E16" s="105"/>
      <c r="H16" t="s">
        <v>36</v>
      </c>
      <c r="I16" t="s">
        <v>37</v>
      </c>
      <c r="L16" s="106" t="s">
        <v>38</v>
      </c>
      <c r="M16" s="107">
        <f>M14+M15</f>
        <v>17.5</v>
      </c>
      <c r="N16" s="110">
        <f>SUM(N14:N15)</f>
        <v>126.00000000000001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1.0499999999999998</v>
      </c>
      <c r="I17" s="59">
        <f>H17*1.2</f>
        <v>1.2599999999999998</v>
      </c>
      <c r="L17" s="106"/>
      <c r="M17" s="108"/>
      <c r="N17" s="108"/>
    </row>
    <row r="18" spans="1:14" x14ac:dyDescent="0.3">
      <c r="A18" s="111" t="s">
        <v>40</v>
      </c>
      <c r="B18" s="111"/>
      <c r="C18" s="111"/>
      <c r="D18" s="111"/>
      <c r="E18" s="111"/>
      <c r="G18" t="s">
        <v>41</v>
      </c>
      <c r="H18" s="59">
        <f>E3</f>
        <v>0.11630482941958351</v>
      </c>
      <c r="I18" s="59">
        <f>H18*1.2</f>
        <v>0.13956579530350019</v>
      </c>
      <c r="L18" s="106"/>
      <c r="M18" s="109"/>
      <c r="N18" s="109"/>
    </row>
    <row r="19" spans="1:14" ht="15" customHeight="1" x14ac:dyDescent="0.3">
      <c r="A19" s="111"/>
      <c r="B19" s="111"/>
      <c r="C19" s="111"/>
      <c r="D19" s="111"/>
      <c r="E19" s="111"/>
      <c r="G19" t="s">
        <v>42</v>
      </c>
      <c r="H19" s="59">
        <f>(H2/2)-H17-H18</f>
        <v>16.333695170580416</v>
      </c>
      <c r="I19">
        <f>H19*1.2</f>
        <v>19.600434204696498</v>
      </c>
    </row>
    <row r="20" spans="1:14" ht="15.75" customHeight="1" thickBot="1" x14ac:dyDescent="0.35">
      <c r="A20" s="111"/>
      <c r="B20" s="111"/>
      <c r="C20" s="111"/>
      <c r="D20" s="111"/>
      <c r="E20" s="111"/>
      <c r="G20" t="s">
        <v>33</v>
      </c>
      <c r="H20" s="60">
        <f>SUM(H17:H19)</f>
        <v>17.5</v>
      </c>
      <c r="I20" s="60">
        <f>SUM(I17:I19)</f>
        <v>20.999999999999996</v>
      </c>
    </row>
    <row r="21" spans="1:14" ht="15" customHeight="1" x14ac:dyDescent="0.3">
      <c r="A21" s="111"/>
      <c r="B21" s="111"/>
      <c r="C21" s="111"/>
      <c r="D21" s="111"/>
      <c r="E21" s="111"/>
      <c r="G21" s="61" t="s">
        <v>43</v>
      </c>
      <c r="H21" s="62"/>
      <c r="J21" s="112" t="s">
        <v>44</v>
      </c>
      <c r="K21" s="115">
        <v>90.28</v>
      </c>
      <c r="L21" s="63"/>
      <c r="M21" s="63" t="s">
        <v>45</v>
      </c>
    </row>
    <row r="22" spans="1:14" ht="15" customHeight="1" x14ac:dyDescent="0.3">
      <c r="A22" s="111"/>
      <c r="B22" s="111"/>
      <c r="C22" s="111"/>
      <c r="D22" s="111"/>
      <c r="E22" s="111"/>
      <c r="G22" s="62" t="s">
        <v>15</v>
      </c>
      <c r="H22" s="64">
        <f>1.2*H17*($H$5*$H$4)</f>
        <v>3.7799999999999994</v>
      </c>
      <c r="I22" s="59"/>
      <c r="J22" s="113"/>
      <c r="K22" s="116"/>
      <c r="L22" s="63"/>
      <c r="M22" s="62" t="s">
        <v>15</v>
      </c>
      <c r="N22" s="64">
        <f>H22</f>
        <v>3.7799999999999994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1.2*H18*($H$5*$H$4)</f>
        <v>0.41869738591050054</v>
      </c>
      <c r="I23" s="59"/>
      <c r="J23" s="114"/>
      <c r="K23" s="117"/>
      <c r="L23" s="63"/>
      <c r="M23" s="62" t="s">
        <v>21</v>
      </c>
      <c r="N23" s="64">
        <f>H24+H23</f>
        <v>59.219999999999992</v>
      </c>
    </row>
    <row r="24" spans="1:14" x14ac:dyDescent="0.3">
      <c r="A24" s="101" t="s">
        <v>46</v>
      </c>
      <c r="B24" s="101"/>
      <c r="C24" s="65">
        <f>(C4*H1)*1000000</f>
        <v>5.2499999999999991E-2</v>
      </c>
      <c r="D24" s="102" t="s">
        <v>47</v>
      </c>
      <c r="E24" s="53"/>
      <c r="G24" s="62" t="s">
        <v>21</v>
      </c>
      <c r="H24" s="64">
        <f>1.2*H19*($H$5*$H$4)</f>
        <v>58.801302614089494</v>
      </c>
      <c r="J24" s="63"/>
      <c r="K24" s="63"/>
      <c r="L24" s="63"/>
    </row>
    <row r="25" spans="1:14" x14ac:dyDescent="0.3">
      <c r="A25" s="103" t="s">
        <v>48</v>
      </c>
      <c r="B25" s="103"/>
      <c r="C25" s="66">
        <v>35177.019999999997</v>
      </c>
      <c r="D25" s="102"/>
      <c r="E25" s="67"/>
      <c r="F25" s="68" t="s">
        <v>49</v>
      </c>
      <c r="G25" s="69" t="s">
        <v>33</v>
      </c>
      <c r="H25" s="70">
        <f>SUM(H22:H24)</f>
        <v>62.999999999999993</v>
      </c>
      <c r="J25" s="63" t="s">
        <v>50</v>
      </c>
      <c r="K25" s="63"/>
      <c r="L25" s="63"/>
      <c r="M25" s="63"/>
    </row>
    <row r="26" spans="1:14" x14ac:dyDescent="0.3">
      <c r="A26" s="103" t="s">
        <v>51</v>
      </c>
      <c r="B26" s="103"/>
      <c r="C26" s="7">
        <f>C3*H1</f>
        <v>1.0499999999999999E-11</v>
      </c>
      <c r="D26" s="102"/>
      <c r="E26" s="67" t="s">
        <v>52</v>
      </c>
      <c r="F26" s="68">
        <v>29346</v>
      </c>
    </row>
    <row r="27" spans="1:14" x14ac:dyDescent="0.3">
      <c r="A27" s="103" t="s">
        <v>53</v>
      </c>
      <c r="B27" s="103"/>
      <c r="C27" s="71">
        <f>C26*C25*1000</f>
        <v>3.6935870999999995E-4</v>
      </c>
      <c r="D27" s="102"/>
      <c r="E27" s="67" t="s">
        <v>54</v>
      </c>
      <c r="F27" s="68">
        <v>29386</v>
      </c>
    </row>
    <row r="29" spans="1:14" x14ac:dyDescent="0.3">
      <c r="A29" s="104" t="s">
        <v>83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90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1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2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3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4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5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6" t="s">
        <v>68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8" t="s">
        <v>82</v>
      </c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100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D69E-E3DE-4BD7-AC6B-361FA1C48C5B}">
  <dimension ref="B1:B6"/>
  <sheetViews>
    <sheetView workbookViewId="0">
      <selection activeCell="H35" sqref="H35"/>
    </sheetView>
  </sheetViews>
  <sheetFormatPr defaultColWidth="8.88671875" defaultRowHeight="14.4" x14ac:dyDescent="0.3"/>
  <cols>
    <col min="1" max="1" width="13.33203125" customWidth="1"/>
    <col min="2" max="2" width="20.44140625" customWidth="1"/>
  </cols>
  <sheetData>
    <row r="1" spans="2:2" x14ac:dyDescent="0.3">
      <c r="B1" s="89"/>
    </row>
    <row r="2" spans="2:2" x14ac:dyDescent="0.3">
      <c r="B2" s="89"/>
    </row>
    <row r="3" spans="2:2" x14ac:dyDescent="0.3">
      <c r="B3" s="89"/>
    </row>
    <row r="4" spans="2:2" x14ac:dyDescent="0.3">
      <c r="B4" s="89"/>
    </row>
    <row r="5" spans="2:2" x14ac:dyDescent="0.3">
      <c r="B5" s="89"/>
    </row>
    <row r="6" spans="2:2" x14ac:dyDescent="0.3">
      <c r="B6" s="8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customXml/itemProps2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5 time points </vt:lpstr>
      <vt:lpstr>Sheet1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2025-10-27T15:31:00Z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