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Assay Calculations/PpPCO/"/>
    </mc:Choice>
  </mc:AlternateContent>
  <xr:revisionPtr revIDLastSave="6" documentId="8_{D55E5112-2470-4D7D-A8D7-FF94114E2BC7}" xr6:coauthVersionLast="47" xr6:coauthVersionMax="47" xr10:uidLastSave="{7CE35856-8548-40A3-BDFA-900CF5AC6244}"/>
  <bookViews>
    <workbookView xWindow="-108" yWindow="-108" windowWidth="23256" windowHeight="13896" xr2:uid="{DDCF3E13-D2E2-4E14-AB9E-6AA60CE09D32}"/>
  </bookViews>
  <sheets>
    <sheet name="for 5 time points 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9" i="1"/>
  <c r="B9" i="1"/>
  <c r="C7" i="1"/>
  <c r="B7" i="1"/>
  <c r="B6" i="1"/>
  <c r="C5" i="1"/>
  <c r="B5" i="1"/>
  <c r="C4" i="1"/>
  <c r="B4" i="1"/>
  <c r="C3" i="1"/>
  <c r="B3" i="1"/>
  <c r="H1" i="1"/>
  <c r="D9" i="1" s="1"/>
  <c r="C24" i="1" l="1"/>
  <c r="D7" i="1"/>
  <c r="D6" i="1"/>
  <c r="C26" i="1"/>
  <c r="C27" i="1" s="1"/>
  <c r="E6" i="1"/>
  <c r="H17" i="1" s="1"/>
  <c r="H22" i="1" s="1"/>
  <c r="E7" i="1"/>
  <c r="M12" i="1" s="1"/>
  <c r="N12" i="1" s="1"/>
  <c r="E9" i="1"/>
  <c r="D5" i="1"/>
  <c r="E5" i="1" s="1"/>
  <c r="M10" i="1" s="1"/>
  <c r="N10" i="1" s="1"/>
  <c r="D3" i="1"/>
  <c r="E3" i="1" s="1"/>
  <c r="H18" i="1" s="1"/>
  <c r="D4" i="1"/>
  <c r="E4" i="1" s="1"/>
  <c r="I17" i="1" l="1"/>
  <c r="N22" i="1"/>
  <c r="M15" i="1"/>
  <c r="N15" i="1" s="1"/>
  <c r="M13" i="1"/>
  <c r="H10" i="1"/>
  <c r="J10" i="1" s="1"/>
  <c r="I18" i="1"/>
  <c r="H23" i="1"/>
  <c r="E8" i="1"/>
  <c r="H19" i="1"/>
  <c r="H24" i="1" l="1"/>
  <c r="N23" i="1" s="1"/>
  <c r="I19" i="1"/>
  <c r="I20" i="1" s="1"/>
  <c r="N13" i="1"/>
  <c r="N14" i="1" s="1"/>
  <c r="N16" i="1" s="1"/>
  <c r="M14" i="1"/>
  <c r="M16" i="1" s="1"/>
  <c r="H20" i="1"/>
  <c r="H25" i="1" l="1"/>
</calcChain>
</file>

<file path=xl/sharedStrings.xml><?xml version="1.0" encoding="utf-8"?>
<sst xmlns="http://schemas.openxmlformats.org/spreadsheetml/2006/main" count="140" uniqueCount="84">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</sst>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abSelected="1" zoomScale="63" zoomScaleNormal="52" workbookViewId="0">
      <selection activeCell="C16" sqref="C16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5.0000000000000002E-5</v>
      </c>
      <c r="J1" s="90"/>
      <c r="K1" s="91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50</v>
      </c>
      <c r="J2" s="91"/>
      <c r="K2" s="91"/>
    </row>
    <row r="3" spans="1:15" ht="15" thickBot="1" x14ac:dyDescent="0.35">
      <c r="A3" s="9" t="s">
        <v>7</v>
      </c>
      <c r="B3" s="10">
        <f>K21/1000000</f>
        <v>6.1460000000000001E-6</v>
      </c>
      <c r="C3" s="11">
        <f>L7/1000000</f>
        <v>4.9999999999999998E-7</v>
      </c>
      <c r="D3" s="12">
        <f>C3*H1</f>
        <v>2.5000000000000001E-11</v>
      </c>
      <c r="E3" s="13">
        <f>1000000*(D3/B3)</f>
        <v>4.0676863000325412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2.0000000000000001E-4</v>
      </c>
      <c r="D4" s="16">
        <f>C4*H1</f>
        <v>1E-8</v>
      </c>
      <c r="E4" s="17">
        <f>1000000*(D4/B4)</f>
        <v>1</v>
      </c>
      <c r="G4" s="8" t="s">
        <v>9</v>
      </c>
      <c r="H4" s="18">
        <v>3</v>
      </c>
      <c r="J4" s="19" t="s">
        <v>10</v>
      </c>
      <c r="K4" s="19">
        <v>1</v>
      </c>
      <c r="L4" s="92" t="s">
        <v>11</v>
      </c>
      <c r="M4" s="92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2.5000000000000004E-7</v>
      </c>
      <c r="E5" s="23">
        <f>1000000*(D5/B5)</f>
        <v>0.50000000000000011</v>
      </c>
      <c r="G5" s="8" t="s">
        <v>13</v>
      </c>
      <c r="H5" s="24">
        <v>1</v>
      </c>
      <c r="J5" s="8" t="s">
        <v>14</v>
      </c>
      <c r="K5" s="18">
        <v>1</v>
      </c>
      <c r="L5" s="92"/>
      <c r="M5" s="92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3.0000000000000004E-9</v>
      </c>
      <c r="E6" s="23">
        <f>1000000*(D6/B6)</f>
        <v>1.5000000000000002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5.0000000000000004E-8</v>
      </c>
      <c r="E7" s="28">
        <f>1000000*(D7/B7)</f>
        <v>0.5</v>
      </c>
      <c r="G7" s="29" t="s">
        <v>18</v>
      </c>
      <c r="H7" s="18">
        <v>0</v>
      </c>
      <c r="J7" s="93" t="s">
        <v>19</v>
      </c>
      <c r="K7" s="94"/>
      <c r="L7" s="30">
        <v>0.5</v>
      </c>
      <c r="M7" s="95" t="s">
        <v>20</v>
      </c>
      <c r="N7" s="96"/>
      <c r="O7" s="31">
        <v>200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42.432313699967459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144</v>
      </c>
      <c r="I10" s="5" t="s">
        <v>26</v>
      </c>
      <c r="J10" s="5">
        <f>H10*1.2</f>
        <v>172.79999999999998</v>
      </c>
      <c r="K10" s="5"/>
      <c r="L10" s="5" t="s">
        <v>12</v>
      </c>
      <c r="M10" s="43">
        <f>E5</f>
        <v>0.50000000000000011</v>
      </c>
      <c r="N10" s="1">
        <f>1.2*M10*H6</f>
        <v>3.6000000000000005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7" t="s">
        <v>27</v>
      </c>
      <c r="H12" s="98"/>
      <c r="I12" s="5"/>
      <c r="J12" s="5"/>
      <c r="K12" s="5"/>
      <c r="L12" s="5" t="s">
        <v>17</v>
      </c>
      <c r="M12" s="43">
        <f>E7</f>
        <v>0.5</v>
      </c>
      <c r="N12" s="1">
        <f>1.2*M12*H6</f>
        <v>3.5999999999999996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9"/>
      <c r="H13" s="100"/>
      <c r="I13" s="5"/>
      <c r="J13" s="5"/>
      <c r="K13" s="5"/>
      <c r="L13" s="5" t="s">
        <v>21</v>
      </c>
      <c r="M13" s="43">
        <f>(H2/2)-SUM(M10:M12)-E4-E9</f>
        <v>23</v>
      </c>
      <c r="N13" s="1">
        <f>1.2*M13*H6</f>
        <v>165.6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3"/>
      <c r="G14" s="101"/>
      <c r="H14" s="102"/>
      <c r="I14" s="5"/>
      <c r="J14" s="5"/>
      <c r="K14" s="5"/>
      <c r="L14" s="5" t="s">
        <v>33</v>
      </c>
      <c r="M14" s="5">
        <f>SUM(M10:M13)</f>
        <v>24</v>
      </c>
      <c r="N14" s="5">
        <f>SUM(N10:N13)</f>
        <v>172.79999999999998</v>
      </c>
    </row>
    <row r="15" spans="1:15" x14ac:dyDescent="0.3">
      <c r="A15" s="50" t="s">
        <v>34</v>
      </c>
      <c r="B15" s="51">
        <v>2000</v>
      </c>
      <c r="C15" s="54">
        <v>60</v>
      </c>
      <c r="D15" s="103"/>
      <c r="E15" s="103"/>
      <c r="L15" s="5" t="s">
        <v>8</v>
      </c>
      <c r="M15" s="42">
        <f>E4</f>
        <v>1</v>
      </c>
      <c r="N15" s="55">
        <f>1.2*M15*H6</f>
        <v>7.1999999999999993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3"/>
      <c r="E16" s="103"/>
      <c r="H16" t="s">
        <v>36</v>
      </c>
      <c r="I16" t="s">
        <v>37</v>
      </c>
      <c r="L16" s="104" t="s">
        <v>38</v>
      </c>
      <c r="M16" s="105">
        <f>M14+M15</f>
        <v>25</v>
      </c>
      <c r="N16" s="108">
        <f>SUM(N14:N15)</f>
        <v>179.99999999999997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1.5000000000000002</v>
      </c>
      <c r="I17" s="59">
        <f>H17*1.2</f>
        <v>1.8000000000000003</v>
      </c>
      <c r="L17" s="104"/>
      <c r="M17" s="106"/>
      <c r="N17" s="106"/>
    </row>
    <row r="18" spans="1:14" x14ac:dyDescent="0.3">
      <c r="A18" s="109" t="s">
        <v>40</v>
      </c>
      <c r="B18" s="109"/>
      <c r="C18" s="109"/>
      <c r="D18" s="109"/>
      <c r="E18" s="109"/>
      <c r="G18" t="s">
        <v>41</v>
      </c>
      <c r="H18" s="59">
        <f>E3</f>
        <v>4.0676863000325412</v>
      </c>
      <c r="I18" s="59">
        <f>H18*1.2</f>
        <v>4.8812235600390492</v>
      </c>
      <c r="L18" s="104"/>
      <c r="M18" s="107"/>
      <c r="N18" s="107"/>
    </row>
    <row r="19" spans="1:14" ht="15" customHeight="1" x14ac:dyDescent="0.3">
      <c r="A19" s="109"/>
      <c r="B19" s="109"/>
      <c r="C19" s="109"/>
      <c r="D19" s="109"/>
      <c r="E19" s="109"/>
      <c r="G19" t="s">
        <v>42</v>
      </c>
      <c r="H19" s="59">
        <f>(H2/2)-H17-H18</f>
        <v>19.432313699967459</v>
      </c>
      <c r="I19">
        <f>H19*1.2</f>
        <v>23.318776439960949</v>
      </c>
    </row>
    <row r="20" spans="1:14" ht="15.75" customHeight="1" thickBot="1" x14ac:dyDescent="0.35">
      <c r="A20" s="109"/>
      <c r="B20" s="109"/>
      <c r="C20" s="109"/>
      <c r="D20" s="109"/>
      <c r="E20" s="109"/>
      <c r="G20" t="s">
        <v>33</v>
      </c>
      <c r="H20" s="60">
        <f>SUM(H17:H19)</f>
        <v>25</v>
      </c>
      <c r="I20" s="60">
        <f>SUM(I17:I19)</f>
        <v>30</v>
      </c>
    </row>
    <row r="21" spans="1:14" ht="15" customHeight="1" x14ac:dyDescent="0.3">
      <c r="A21" s="109"/>
      <c r="B21" s="109"/>
      <c r="C21" s="109"/>
      <c r="D21" s="109"/>
      <c r="E21" s="109"/>
      <c r="G21" s="61" t="s">
        <v>43</v>
      </c>
      <c r="H21" s="62"/>
      <c r="J21" s="110" t="s">
        <v>44</v>
      </c>
      <c r="K21" s="113">
        <v>6.1459999999999999</v>
      </c>
      <c r="L21" s="63"/>
      <c r="M21" s="63" t="s">
        <v>45</v>
      </c>
    </row>
    <row r="22" spans="1:14" ht="15" customHeight="1" x14ac:dyDescent="0.3">
      <c r="A22" s="109"/>
      <c r="B22" s="109"/>
      <c r="C22" s="109"/>
      <c r="D22" s="109"/>
      <c r="E22" s="109"/>
      <c r="G22" s="62" t="s">
        <v>15</v>
      </c>
      <c r="H22" s="64">
        <f>1.2*H17*($H$5*$H$4)</f>
        <v>5.4</v>
      </c>
      <c r="I22" s="59"/>
      <c r="J22" s="111"/>
      <c r="K22" s="114"/>
      <c r="L22" s="63"/>
      <c r="M22" s="62" t="s">
        <v>15</v>
      </c>
      <c r="N22" s="64">
        <f>H22</f>
        <v>5.4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1.2*H18*($H$5*$H$4)</f>
        <v>14.643670680117147</v>
      </c>
      <c r="I23" s="59"/>
      <c r="J23" s="112"/>
      <c r="K23" s="115"/>
      <c r="L23" s="63"/>
      <c r="M23" s="62" t="s">
        <v>21</v>
      </c>
      <c r="N23" s="64">
        <f>H24+H23</f>
        <v>84.6</v>
      </c>
    </row>
    <row r="24" spans="1:14" x14ac:dyDescent="0.3">
      <c r="A24" s="127" t="s">
        <v>46</v>
      </c>
      <c r="B24" s="127"/>
      <c r="C24" s="65">
        <f>(C4*H1)*1000000</f>
        <v>0.01</v>
      </c>
      <c r="D24" s="128" t="s">
        <v>47</v>
      </c>
      <c r="E24" s="53"/>
      <c r="G24" s="62" t="s">
        <v>21</v>
      </c>
      <c r="H24" s="64">
        <f>1.2*H19*($H$5*$H$4)</f>
        <v>69.956329319882855</v>
      </c>
      <c r="J24" s="63"/>
      <c r="K24" s="63"/>
      <c r="L24" s="63"/>
    </row>
    <row r="25" spans="1:14" x14ac:dyDescent="0.3">
      <c r="A25" s="129" t="s">
        <v>48</v>
      </c>
      <c r="B25" s="129"/>
      <c r="C25" s="66">
        <v>35177.019999999997</v>
      </c>
      <c r="D25" s="128"/>
      <c r="E25" s="67"/>
      <c r="F25" s="68" t="s">
        <v>49</v>
      </c>
      <c r="G25" s="69" t="s">
        <v>33</v>
      </c>
      <c r="H25" s="70">
        <f>SUM(H22:H24)</f>
        <v>90</v>
      </c>
      <c r="J25" s="63" t="s">
        <v>50</v>
      </c>
      <c r="K25" s="63"/>
      <c r="L25" s="63"/>
      <c r="M25" s="63"/>
    </row>
    <row r="26" spans="1:14" x14ac:dyDescent="0.3">
      <c r="A26" s="129" t="s">
        <v>51</v>
      </c>
      <c r="B26" s="129"/>
      <c r="C26" s="7">
        <f>C3*H1</f>
        <v>2.5000000000000001E-11</v>
      </c>
      <c r="D26" s="128"/>
      <c r="E26" s="67" t="s">
        <v>52</v>
      </c>
      <c r="F26" s="68">
        <v>29346</v>
      </c>
    </row>
    <row r="27" spans="1:14" x14ac:dyDescent="0.3">
      <c r="A27" s="129" t="s">
        <v>53</v>
      </c>
      <c r="B27" s="129"/>
      <c r="C27" s="71">
        <f>C26*C25*1000</f>
        <v>8.7942549999999993E-4</v>
      </c>
      <c r="D27" s="128"/>
      <c r="E27" s="67" t="s">
        <v>54</v>
      </c>
      <c r="F27" s="68">
        <v>29386</v>
      </c>
    </row>
    <row r="29" spans="1:14" x14ac:dyDescent="0.3">
      <c r="A29" s="130" t="s">
        <v>83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6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7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8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9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20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1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2" t="s">
        <v>68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4" t="s">
        <v>82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6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D69E-E3DE-4BD7-AC6B-361FA1C48C5B}">
  <dimension ref="B1:B6"/>
  <sheetViews>
    <sheetView workbookViewId="0">
      <selection activeCell="H35" sqref="H35"/>
    </sheetView>
  </sheetViews>
  <sheetFormatPr defaultColWidth="8.88671875" defaultRowHeight="14.4" x14ac:dyDescent="0.3"/>
  <cols>
    <col min="1" max="1" width="13.33203125" customWidth="1"/>
    <col min="2" max="2" width="20.44140625" customWidth="1"/>
  </cols>
  <sheetData>
    <row r="1" spans="2:2" x14ac:dyDescent="0.3">
      <c r="B1" s="89"/>
    </row>
    <row r="2" spans="2:2" x14ac:dyDescent="0.3">
      <c r="B2" s="89"/>
    </row>
    <row r="3" spans="2:2" x14ac:dyDescent="0.3">
      <c r="B3" s="89"/>
    </row>
    <row r="4" spans="2:2" x14ac:dyDescent="0.3">
      <c r="B4" s="89"/>
    </row>
    <row r="5" spans="2:2" x14ac:dyDescent="0.3">
      <c r="B5" s="89"/>
    </row>
    <row r="6" spans="2:2" x14ac:dyDescent="0.3">
      <c r="B6" s="8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Props1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5 time points </vt:lpstr>
      <vt:lpstr>Sheet1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2025-10-31T17:41:17Z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