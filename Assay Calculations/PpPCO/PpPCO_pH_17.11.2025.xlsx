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PpPCO/"/>
    </mc:Choice>
  </mc:AlternateContent>
  <xr:revisionPtr revIDLastSave="3" documentId="8_{854C08A2-946F-4A0E-B744-E29F71323F74}" xr6:coauthVersionLast="47" xr6:coauthVersionMax="47" xr10:uidLastSave="{FF91BC89-8925-4888-B7D3-241E76170879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C24" i="1" l="1"/>
  <c r="D7" i="1"/>
  <c r="C26" i="1"/>
  <c r="C27" i="1" s="1"/>
  <c r="D6" i="1"/>
  <c r="E6" i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<sst xmlns="http://schemas.openxmlformats.org/spreadsheetml/2006/main" count="140" uniqueCount="84">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</sst>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91"/>
      <c r="K2" s="91"/>
    </row>
    <row r="3" spans="1:15" ht="15" thickBot="1" x14ac:dyDescent="0.35">
      <c r="A3" s="9" t="s">
        <v>7</v>
      </c>
      <c r="B3" s="10">
        <f>K21/1000000</f>
        <v>1.0086700000000001E-5</v>
      </c>
      <c r="C3" s="11">
        <f>L7/1000000</f>
        <v>9.9999999999999995E-7</v>
      </c>
      <c r="D3" s="12">
        <f>C3*H1</f>
        <v>5.0000000000000002E-11</v>
      </c>
      <c r="E3" s="13">
        <f>1000000*(D3/B3)</f>
        <v>4.9570226139371645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5.0000000000000001E-9</v>
      </c>
      <c r="E4" s="17">
        <f>1000000*(D4/B4)</f>
        <v>0.5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42.042977386062837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147</v>
      </c>
      <c r="I10" s="5" t="s">
        <v>26</v>
      </c>
      <c r="J10" s="5">
        <f>H10*1.2</f>
        <v>176.4</v>
      </c>
      <c r="K10" s="5"/>
      <c r="L10" s="5" t="s">
        <v>12</v>
      </c>
      <c r="M10" s="43">
        <f>E5</f>
        <v>0.50000000000000011</v>
      </c>
      <c r="N10" s="1">
        <f>1.2*M10*H6</f>
        <v>3.6000000000000005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0.5</v>
      </c>
      <c r="N12" s="1">
        <f>1.2*M12*H6</f>
        <v>3.5999999999999996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23.5</v>
      </c>
      <c r="N13" s="1">
        <f>1.2*M13*H6</f>
        <v>169.2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24.5</v>
      </c>
      <c r="N14" s="5">
        <f>SUM(N10:N13)</f>
        <v>176.39999999999998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0.5</v>
      </c>
      <c r="N15" s="55">
        <f>1.2*M15*H6</f>
        <v>3.5999999999999996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25</v>
      </c>
      <c r="N16" s="108">
        <f>SUM(N14:N15)</f>
        <v>179.99999999999997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H17*1.2</f>
        <v>1.8000000000000003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4.9570226139371645</v>
      </c>
      <c r="I18" s="59">
        <f>H18*1.2</f>
        <v>5.9484271367245976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18.542977386062837</v>
      </c>
      <c r="I19">
        <f>H19*1.2</f>
        <v>22.251572863275403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25</v>
      </c>
      <c r="I20" s="60">
        <f>SUM(I17:I19)</f>
        <v>30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10.0867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1.2*H17*($H$5*$H$4)</f>
        <v>5.4</v>
      </c>
      <c r="I22" s="59"/>
      <c r="J22" s="111"/>
      <c r="K22" s="114"/>
      <c r="L22" s="63"/>
      <c r="M22" s="62" t="s">
        <v>15</v>
      </c>
      <c r="N22" s="64">
        <f>H22</f>
        <v>5.4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17.845281410173794</v>
      </c>
      <c r="I23" s="59"/>
      <c r="J23" s="112"/>
      <c r="K23" s="115"/>
      <c r="L23" s="63"/>
      <c r="M23" s="62" t="s">
        <v>21</v>
      </c>
      <c r="N23" s="64">
        <f>H24+H23</f>
        <v>84.600000000000009</v>
      </c>
    </row>
    <row r="24" spans="1:14" x14ac:dyDescent="0.3">
      <c r="A24" s="127" t="s">
        <v>46</v>
      </c>
      <c r="B24" s="127"/>
      <c r="C24" s="65">
        <f>(C4*H1)*1000000</f>
        <v>5.0000000000000001E-3</v>
      </c>
      <c r="D24" s="128" t="s">
        <v>47</v>
      </c>
      <c r="E24" s="53"/>
      <c r="G24" s="62" t="s">
        <v>21</v>
      </c>
      <c r="H24" s="64">
        <f>1.2*H19*($H$5*$H$4)</f>
        <v>66.754718589826211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30634.39</v>
      </c>
      <c r="D25" s="128"/>
      <c r="E25" s="67"/>
      <c r="F25" s="68" t="s">
        <v>49</v>
      </c>
      <c r="G25" s="69" t="s">
        <v>33</v>
      </c>
      <c r="H25" s="70">
        <f>SUM(H22:H24)</f>
        <v>90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5.0000000000000002E-11</v>
      </c>
      <c r="D26" s="128"/>
      <c r="E26" s="67" t="s">
        <v>52</v>
      </c>
      <c r="F26" s="68">
        <v>29346</v>
      </c>
    </row>
    <row r="27" spans="1:14" x14ac:dyDescent="0.3">
      <c r="A27" s="129" t="s">
        <v>53</v>
      </c>
      <c r="B27" s="129"/>
      <c r="C27" s="71">
        <f>C26*C25*1000</f>
        <v>1.5317195000000001E-3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2026-01-19T11:15:31Z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