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Initial Activity/"/>
    </mc:Choice>
  </mc:AlternateContent>
  <xr:revisionPtr revIDLastSave="6" documentId="8_{297F6D03-E41B-4A8D-A235-BE3C77086996}" xr6:coauthVersionLast="47" xr6:coauthVersionMax="47" xr10:uidLastSave="{55357F3A-E53B-4E96-8149-9B046FDD8D2D}"/>
  <bookViews>
    <workbookView xWindow="-108" yWindow="-108" windowWidth="23256" windowHeight="13896" activeTab="1" xr2:uid="{DDCF3E13-D2E2-4E14-AB9E-6AA60CE09D32}"/>
  </bookViews>
  <sheets>
    <sheet name="AtPCO4" sheetId="8" r:id="rId1"/>
    <sheet name="Sml_PpPCO" sheetId="7" r:id="rId2"/>
    <sheet name="PuPCO" sheetId="4" r:id="rId3"/>
    <sheet name="Lrg_FsPCO" sheetId="1" r:id="rId4"/>
    <sheet name="Lrg_PpPCO" sheetId="6" r:id="rId5"/>
    <sheet name="GcPCO" sheetId="5" r:id="rId6"/>
    <sheet name="Sml_FsPCO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B9" i="8"/>
  <c r="E9" i="8" s="1"/>
  <c r="C7" i="8"/>
  <c r="D7" i="8" s="1"/>
  <c r="E7" i="8" s="1"/>
  <c r="M12" i="8" s="1"/>
  <c r="N12" i="8" s="1"/>
  <c r="B7" i="8"/>
  <c r="C6" i="8"/>
  <c r="D6" i="8" s="1"/>
  <c r="E6" i="8" s="1"/>
  <c r="H17" i="8" s="1"/>
  <c r="B6" i="8"/>
  <c r="D5" i="8"/>
  <c r="E5" i="8" s="1"/>
  <c r="M10" i="8" s="1"/>
  <c r="C5" i="8"/>
  <c r="B5" i="8"/>
  <c r="C4" i="8"/>
  <c r="D4" i="8" s="1"/>
  <c r="E4" i="8" s="1"/>
  <c r="B4" i="8"/>
  <c r="C3" i="8"/>
  <c r="C26" i="8" s="1"/>
  <c r="C27" i="8" s="1"/>
  <c r="B3" i="8"/>
  <c r="H1" i="8"/>
  <c r="D9" i="8" s="1"/>
  <c r="C27" i="5"/>
  <c r="C9" i="7"/>
  <c r="B9" i="7"/>
  <c r="C7" i="7"/>
  <c r="B7" i="7"/>
  <c r="C6" i="7"/>
  <c r="B6" i="7"/>
  <c r="C5" i="7"/>
  <c r="B5" i="7"/>
  <c r="C4" i="7"/>
  <c r="B4" i="7"/>
  <c r="C3" i="7"/>
  <c r="B3" i="7"/>
  <c r="H1" i="7"/>
  <c r="C24" i="7" s="1"/>
  <c r="C9" i="6"/>
  <c r="B9" i="6"/>
  <c r="C7" i="6"/>
  <c r="B7" i="6"/>
  <c r="C6" i="6"/>
  <c r="B6" i="6"/>
  <c r="C5" i="6"/>
  <c r="B5" i="6"/>
  <c r="C4" i="6"/>
  <c r="B4" i="6"/>
  <c r="C3" i="6"/>
  <c r="B3" i="6"/>
  <c r="H1" i="6"/>
  <c r="D5" i="6" s="1"/>
  <c r="E5" i="6" s="1"/>
  <c r="M10" i="6" s="1"/>
  <c r="C9" i="5"/>
  <c r="D9" i="5" s="1"/>
  <c r="E9" i="5" s="1"/>
  <c r="B9" i="5"/>
  <c r="C7" i="5"/>
  <c r="D7" i="5" s="1"/>
  <c r="E7" i="5" s="1"/>
  <c r="M12" i="5" s="1"/>
  <c r="N12" i="5" s="1"/>
  <c r="B7" i="5"/>
  <c r="C6" i="5"/>
  <c r="D6" i="5" s="1"/>
  <c r="E6" i="5" s="1"/>
  <c r="H17" i="5" s="1"/>
  <c r="B6" i="5"/>
  <c r="C5" i="5"/>
  <c r="B5" i="5"/>
  <c r="C4" i="5"/>
  <c r="B4" i="5"/>
  <c r="C3" i="5"/>
  <c r="B3" i="5"/>
  <c r="H1" i="5"/>
  <c r="C24" i="5" s="1"/>
  <c r="C9" i="4"/>
  <c r="B9" i="4"/>
  <c r="C7" i="4"/>
  <c r="D7" i="4" s="1"/>
  <c r="E7" i="4" s="1"/>
  <c r="M12" i="4" s="1"/>
  <c r="N12" i="4" s="1"/>
  <c r="B7" i="4"/>
  <c r="C6" i="4"/>
  <c r="B6" i="4"/>
  <c r="C5" i="4"/>
  <c r="B5" i="4"/>
  <c r="C4" i="4"/>
  <c r="B4" i="4"/>
  <c r="C3" i="4"/>
  <c r="B3" i="4"/>
  <c r="H1" i="4"/>
  <c r="D4" i="4" s="1"/>
  <c r="E4" i="4" s="1"/>
  <c r="C9" i="3"/>
  <c r="B9" i="3"/>
  <c r="C7" i="3"/>
  <c r="B7" i="3"/>
  <c r="C6" i="3"/>
  <c r="D6" i="3" s="1"/>
  <c r="E6" i="3" s="1"/>
  <c r="H17" i="3" s="1"/>
  <c r="B6" i="3"/>
  <c r="C5" i="3"/>
  <c r="D5" i="3" s="1"/>
  <c r="E5" i="3" s="1"/>
  <c r="M10" i="3" s="1"/>
  <c r="B5" i="3"/>
  <c r="C4" i="3"/>
  <c r="B4" i="3"/>
  <c r="C3" i="3"/>
  <c r="C26" i="3" s="1"/>
  <c r="C27" i="3" s="1"/>
  <c r="B3" i="3"/>
  <c r="H1" i="3"/>
  <c r="D4" i="3" s="1"/>
  <c r="E4" i="3" s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M13" i="8" l="1"/>
  <c r="N13" i="8" s="1"/>
  <c r="M15" i="8"/>
  <c r="N15" i="8" s="1"/>
  <c r="H10" i="8"/>
  <c r="J10" i="8" s="1"/>
  <c r="N10" i="8"/>
  <c r="N14" i="8" s="1"/>
  <c r="N16" i="8" s="1"/>
  <c r="M14" i="8"/>
  <c r="M16" i="8" s="1"/>
  <c r="H22" i="8"/>
  <c r="I17" i="8"/>
  <c r="D3" i="8"/>
  <c r="E3" i="8" s="1"/>
  <c r="H18" i="8" s="1"/>
  <c r="C24" i="8"/>
  <c r="D7" i="3"/>
  <c r="E7" i="3" s="1"/>
  <c r="M12" i="3" s="1"/>
  <c r="N12" i="3" s="1"/>
  <c r="D9" i="3"/>
  <c r="E9" i="3" s="1"/>
  <c r="D9" i="4"/>
  <c r="E9" i="4" s="1"/>
  <c r="D5" i="4"/>
  <c r="E5" i="4" s="1"/>
  <c r="M10" i="4" s="1"/>
  <c r="D6" i="4"/>
  <c r="E6" i="4" s="1"/>
  <c r="H17" i="4" s="1"/>
  <c r="D3" i="4"/>
  <c r="E3" i="4" s="1"/>
  <c r="D4" i="5"/>
  <c r="E4" i="5" s="1"/>
  <c r="C26" i="5"/>
  <c r="D5" i="5"/>
  <c r="E5" i="5" s="1"/>
  <c r="M10" i="5" s="1"/>
  <c r="M13" i="5" s="1"/>
  <c r="N13" i="5" s="1"/>
  <c r="D9" i="6"/>
  <c r="E9" i="6" s="1"/>
  <c r="M13" i="6" s="1"/>
  <c r="N13" i="6" s="1"/>
  <c r="D7" i="6"/>
  <c r="E7" i="6" s="1"/>
  <c r="M12" i="6" s="1"/>
  <c r="N12" i="6" s="1"/>
  <c r="C26" i="6"/>
  <c r="D4" i="6"/>
  <c r="E4" i="6" s="1"/>
  <c r="D6" i="6"/>
  <c r="E6" i="6" s="1"/>
  <c r="H17" i="6" s="1"/>
  <c r="D7" i="7"/>
  <c r="E7" i="7" s="1"/>
  <c r="M12" i="7" s="1"/>
  <c r="N12" i="7" s="1"/>
  <c r="D6" i="7"/>
  <c r="E6" i="7" s="1"/>
  <c r="H17" i="7" s="1"/>
  <c r="C26" i="7"/>
  <c r="D4" i="7"/>
  <c r="E4" i="7" s="1"/>
  <c r="D5" i="7"/>
  <c r="E5" i="7" s="1"/>
  <c r="M10" i="7" s="1"/>
  <c r="D9" i="7"/>
  <c r="E9" i="7" s="1"/>
  <c r="H10" i="7" s="1"/>
  <c r="J10" i="7" s="1"/>
  <c r="M15" i="7"/>
  <c r="N15" i="7" s="1"/>
  <c r="M13" i="7"/>
  <c r="N13" i="7" s="1"/>
  <c r="M14" i="7"/>
  <c r="M16" i="7" s="1"/>
  <c r="N10" i="7"/>
  <c r="N14" i="7" s="1"/>
  <c r="N16" i="7" s="1"/>
  <c r="H22" i="7"/>
  <c r="I17" i="7"/>
  <c r="D3" i="7"/>
  <c r="E3" i="7" s="1"/>
  <c r="H18" i="7" s="1"/>
  <c r="N10" i="6"/>
  <c r="M15" i="6"/>
  <c r="N15" i="6" s="1"/>
  <c r="H22" i="6"/>
  <c r="I17" i="6"/>
  <c r="C24" i="6"/>
  <c r="D3" i="6"/>
  <c r="E3" i="6" s="1"/>
  <c r="H18" i="6" s="1"/>
  <c r="H22" i="5"/>
  <c r="I17" i="5"/>
  <c r="N10" i="5"/>
  <c r="H10" i="5"/>
  <c r="J10" i="5" s="1"/>
  <c r="M15" i="5"/>
  <c r="N15" i="5" s="1"/>
  <c r="D3" i="5"/>
  <c r="E3" i="5" s="1"/>
  <c r="H18" i="5" s="1"/>
  <c r="M15" i="4"/>
  <c r="N15" i="4" s="1"/>
  <c r="M13" i="4"/>
  <c r="N13" i="4" s="1"/>
  <c r="H10" i="4"/>
  <c r="J10" i="4" s="1"/>
  <c r="N10" i="4"/>
  <c r="N14" i="4" s="1"/>
  <c r="N16" i="4" s="1"/>
  <c r="H22" i="4"/>
  <c r="I17" i="4"/>
  <c r="C24" i="4"/>
  <c r="C26" i="4"/>
  <c r="C27" i="4" s="1"/>
  <c r="H10" i="3"/>
  <c r="J10" i="3" s="1"/>
  <c r="M15" i="3"/>
  <c r="N15" i="3" s="1"/>
  <c r="M13" i="3"/>
  <c r="N13" i="3" s="1"/>
  <c r="N10" i="3"/>
  <c r="N14" i="3" s="1"/>
  <c r="N16" i="3" s="1"/>
  <c r="I17" i="3"/>
  <c r="H22" i="3"/>
  <c r="D3" i="3"/>
  <c r="E3" i="3" s="1"/>
  <c r="H18" i="3" s="1"/>
  <c r="C24" i="3"/>
  <c r="C24" i="1"/>
  <c r="D7" i="1"/>
  <c r="C26" i="1"/>
  <c r="C27" i="1" s="1"/>
  <c r="D6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H23" i="8" l="1"/>
  <c r="I18" i="8"/>
  <c r="E8" i="8"/>
  <c r="H19" i="8"/>
  <c r="N22" i="8"/>
  <c r="M14" i="3"/>
  <c r="M16" i="3" s="1"/>
  <c r="H18" i="4"/>
  <c r="E8" i="4"/>
  <c r="M14" i="4"/>
  <c r="M16" i="4" s="1"/>
  <c r="H10" i="6"/>
  <c r="J10" i="6" s="1"/>
  <c r="E8" i="7"/>
  <c r="I18" i="1"/>
  <c r="H23" i="1"/>
  <c r="H22" i="1"/>
  <c r="I17" i="1"/>
  <c r="H23" i="7"/>
  <c r="I18" i="7"/>
  <c r="N22" i="7"/>
  <c r="H19" i="7"/>
  <c r="H23" i="6"/>
  <c r="I18" i="6"/>
  <c r="N22" i="6"/>
  <c r="H19" i="6"/>
  <c r="H20" i="6" s="1"/>
  <c r="M14" i="6"/>
  <c r="M16" i="6" s="1"/>
  <c r="E8" i="6"/>
  <c r="N14" i="6"/>
  <c r="N16" i="6" s="1"/>
  <c r="N22" i="5"/>
  <c r="I18" i="5"/>
  <c r="H23" i="5"/>
  <c r="M14" i="5"/>
  <c r="M16" i="5" s="1"/>
  <c r="H19" i="5"/>
  <c r="H20" i="5" s="1"/>
  <c r="N14" i="5"/>
  <c r="N16" i="5" s="1"/>
  <c r="E8" i="5"/>
  <c r="N22" i="4"/>
  <c r="I18" i="3"/>
  <c r="H23" i="3"/>
  <c r="E8" i="3"/>
  <c r="N22" i="3"/>
  <c r="H19" i="3"/>
  <c r="N22" i="1"/>
  <c r="M15" i="1"/>
  <c r="N15" i="1" s="1"/>
  <c r="M13" i="1"/>
  <c r="N13" i="1" s="1"/>
  <c r="H10" i="1"/>
  <c r="J10" i="1" s="1"/>
  <c r="E8" i="1"/>
  <c r="H19" i="1"/>
  <c r="H24" i="8" l="1"/>
  <c r="I19" i="8"/>
  <c r="I20" i="8" s="1"/>
  <c r="H20" i="8"/>
  <c r="I18" i="4"/>
  <c r="H19" i="4"/>
  <c r="H23" i="4"/>
  <c r="I19" i="1"/>
  <c r="H24" i="1"/>
  <c r="N23" i="1" s="1"/>
  <c r="I20" i="1"/>
  <c r="H24" i="7"/>
  <c r="I19" i="7"/>
  <c r="I20" i="7" s="1"/>
  <c r="H20" i="7"/>
  <c r="I19" i="6"/>
  <c r="I20" i="6" s="1"/>
  <c r="H24" i="6"/>
  <c r="I19" i="5"/>
  <c r="I20" i="5" s="1"/>
  <c r="H24" i="5"/>
  <c r="H24" i="3"/>
  <c r="I19" i="3"/>
  <c r="I20" i="3" s="1"/>
  <c r="H20" i="3"/>
  <c r="N14" i="1"/>
  <c r="N16" i="1" s="1"/>
  <c r="M14" i="1"/>
  <c r="M16" i="1" s="1"/>
  <c r="H20" i="1"/>
  <c r="N23" i="8" l="1"/>
  <c r="H25" i="8"/>
  <c r="H24" i="4"/>
  <c r="N23" i="4" s="1"/>
  <c r="I19" i="4"/>
  <c r="I20" i="4" s="1"/>
  <c r="H20" i="4"/>
  <c r="N23" i="7"/>
  <c r="H25" i="7"/>
  <c r="N23" i="6"/>
  <c r="H25" i="6"/>
  <c r="N23" i="5"/>
  <c r="H25" i="5"/>
  <c r="N23" i="3"/>
  <c r="H25" i="3"/>
  <c r="H25" i="1"/>
  <c r="H25" i="4" l="1"/>
</calcChain>
</file>

<file path=xl/sharedStrings.xml><?xml version="1.0" encoding="utf-8"?>
<sst xmlns="http://schemas.openxmlformats.org/spreadsheetml/2006/main" count="1010" uniqueCount="89">
  <si>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</si>
  <si>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</si>
  <si>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</si>
  <si>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</si>
  <si>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</si>
  <si>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</si>
  <si>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</si>
  <si>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</si>
  <si>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</si>
  <si>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</si>
  <si>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</si>
  <si>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</si>
  <si>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</si>
  <si>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</si>
  <si>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</si>
  <si>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</si>
  <si>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</si>
  <si>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</si>
  <si>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</si>
  <si>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</si>
  <si>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</si>
  <si>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</si>
  <si>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</si>
  <si>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</si>
  <si>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</si>
  <si>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</si>
  <si>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</si>
  <si>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</si>
  <si>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</si>
  <si>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</si>
  <si>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</si>
  <si>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</si>
  <si>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</si>
  <si>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</si>
  <si>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</si>
  <si>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</si>
  <si>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</si>
  <si>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</si>
  <si>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</si>
  <si>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</si>
  <si>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</si>
  <si>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</si>
  <si>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</si>
  <si>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</si>
  <si>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</si>
  <si>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</si>
  <si>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</si>
  <si>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</si>
  <si>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</si>
  <si>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</si>
  <si>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</si>
  <si>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</si>
  <si>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</si>
  <si>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</si>
  <si>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</si>
  <si>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</si>
  <si>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</si>
  <si>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</si>
  <si>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</si>
  <si>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</si>
  <si>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</si>
  <si>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</si>
  <si>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</si>
  <si>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</si>
  <si>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</si>
  <si>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</si>
  <si>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</si>
  <si>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</si>
  <si>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</si>
  <si>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</si>
  <si>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</si>
  <si>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</si>
  <si>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</si>
  <si>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</si>
  <si>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</si>
  <si>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</si>
  <si>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</si>
  <si>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</si>
  <si>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</si>
  <si>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</si>
  <si>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</si>
  <si>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</si>
  <si>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</si>
  <si>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</si>
  <si>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</si>
  <si>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</si>
  <si>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</si>
  <si>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</si>
  <si>
    <t>29.01 - 90uL as doing 13 timepoints, not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</si>
</sst>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48B-C2F3-444D-A3BF-2B076BBA26A6}">
  <sheetPr>
    <pageSetUpPr fitToPage="1"/>
  </sheetPr>
  <dimension ref="A1:O51"/>
  <sheetViews>
    <sheetView topLeftCell="C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0"/>
      <c r="K2" s="90"/>
    </row>
    <row r="3" spans="1:15" ht="15" thickBot="1" x14ac:dyDescent="0.35">
      <c r="A3" s="9" t="s">
        <v>7</v>
      </c>
      <c r="B3" s="10">
        <f>K21/1000000</f>
        <v>1.0904099999999999E-5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8.2537761025669241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76.346223897433077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8.2537761025669241</v>
      </c>
      <c r="I18" s="59">
        <f>H18*1.4</f>
        <v>11.555286543593693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34.046223897433073</v>
      </c>
      <c r="I19">
        <f>H19*1.4</f>
        <v>47.664713456406297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62.999999999999986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10.9041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34.665859630781078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142.99414036921888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29346</v>
      </c>
      <c r="D25" s="127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2.6411399999999997E-3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4F-19EB-46D7-B8D6-EDADFF4934B8}">
  <sheetPr>
    <pageSetUpPr fitToPage="1"/>
  </sheetPr>
  <dimension ref="A1:O51"/>
  <sheetViews>
    <sheetView tabSelected="1"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8.9284999999999993E-6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10.080080640645125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74.519919359354873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10.080080640645125</v>
      </c>
      <c r="I18" s="59">
        <f>H18*1.4</f>
        <v>14.112112896903174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32.219919359354876</v>
      </c>
      <c r="I19">
        <f>H19*1.4</f>
        <v>45.107887103096822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8.9284999999999997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42.336338690709525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135.32366130929046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29120.07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v>2.6208062999999999E-3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861-DABB-4D6D-8432-710074145CFC}">
  <sheetPr>
    <pageSetUpPr fitToPage="1"/>
  </sheetPr>
  <dimension ref="A1:O51"/>
  <sheetViews>
    <sheetView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9.7704000000000005E-6</v>
      </c>
      <c r="C3" s="11">
        <f>L7/1000000</f>
        <v>9.9999999999999995E-7</v>
      </c>
      <c r="D3" s="12">
        <f>C3*H1</f>
        <v>8.9999999999999999E-11</v>
      </c>
      <c r="E3" s="13">
        <f>1000000*(D3/B3)</f>
        <v>9.211495946941783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75.388504053058213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9.211495946941783</v>
      </c>
      <c r="I18" s="59">
        <f>H18*1.4</f>
        <v>12.896094325718495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33.088504053058216</v>
      </c>
      <c r="I19">
        <f>H19*1.4</f>
        <v>46.323905674281498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9.7704000000000004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38.688282977155488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138.9717170228445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42986.78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3.8688101999999999E-3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opLeftCell="D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0"/>
      <c r="K2" s="90"/>
    </row>
    <row r="3" spans="1:15" ht="15" thickBot="1" x14ac:dyDescent="0.35">
      <c r="A3" s="9" t="s">
        <v>7</v>
      </c>
      <c r="B3" s="10">
        <f>K21/1000000</f>
        <v>1.1157299999999999E-5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8.0664676937968878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76.533532306203114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8.0664676937968878</v>
      </c>
      <c r="I18" s="59">
        <f>H18*1.4</f>
        <v>11.293054771315642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34.233532306203109</v>
      </c>
      <c r="I19">
        <f>H19*1.4</f>
        <v>47.926945228684353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11.157299999999999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33.87916431394693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143.78083568605305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28232.74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2.5409466000000003E-3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C19-68B7-4F3E-BC21-B4B648BCA774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9.306300000000001E-6</v>
      </c>
      <c r="C3" s="11">
        <f>L7/1000000</f>
        <v>9.9999999999999995E-7</v>
      </c>
      <c r="D3" s="12">
        <f>C3*H1</f>
        <v>8.9999999999999999E-11</v>
      </c>
      <c r="E3" s="13">
        <f>1000000*(D3/B3)</f>
        <v>9.6708681215950474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74.929131878404945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9.6708681215950474</v>
      </c>
      <c r="I18" s="59">
        <f>H18*1.4</f>
        <v>13.539215370233066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32.629131878404948</v>
      </c>
      <c r="I19">
        <f>H19*1.4</f>
        <v>45.680784629766926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9.3063000000000002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40.617646110699198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137.04235388930078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29120.07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v>2.6208062999999999E-3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234-2D04-4159-AAD7-CA8A2FEFDD09}">
  <sheetPr>
    <pageSetUpPr fitToPage="1"/>
  </sheetPr>
  <dimension ref="A1:O51"/>
  <sheetViews>
    <sheetView topLeftCell="D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8.3240000000000003E-6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10.812109562710235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73.787890437289761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10.812109562710235</v>
      </c>
      <c r="I18" s="59">
        <f>H18*1.4</f>
        <v>15.136953387794328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31.487890437289764</v>
      </c>
      <c r="I19">
        <f>H19*1.4</f>
        <v>44.083046612205663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8.3239999999999998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45.410860163382985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132.24913983661699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30634.39</v>
      </c>
      <c r="D25" s="127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2.7570950999999998E-3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FEE-093B-42C6-B74F-8BE25E23B495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8.4299000000000004E-6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10.676283229931553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73.923716770068452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10.676283229931553</v>
      </c>
      <c r="I18" s="59">
        <f>H18*1.4</f>
        <v>14.946796521904172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31.623716770068445</v>
      </c>
      <c r="I19">
        <f>H19*1.4</f>
        <v>44.273203478095823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8.4298999999999999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44.840389565712513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132.81961043428748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28232.74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2.5409466000000003E-3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AtPCO4</vt:lpstr>
      <vt:lpstr>Sml_PpPCO</vt:lpstr>
      <vt:lpstr>PuPCO</vt:lpstr>
      <vt:lpstr>Lrg_FsPCO</vt:lpstr>
      <vt:lpstr>Lrg_PpPCO</vt:lpstr>
      <vt:lpstr>GcPCO</vt:lpstr>
      <vt:lpstr>Sml_FsPCO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2026-03-04T12:22:34Z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