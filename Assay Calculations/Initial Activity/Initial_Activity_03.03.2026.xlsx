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ome5458_ox_ac_uk/Documents/Year 4/Assay Calculations/Initial Activity/"/>
    </mc:Choice>
  </mc:AlternateContent>
  <xr:revisionPtr revIDLastSave="5" documentId="8_{AE8CB763-FC65-44B4-ACFD-2AD0D8CA792A}" xr6:coauthVersionLast="47" xr6:coauthVersionMax="47" xr10:uidLastSave="{9BC7F184-0D67-46F0-891E-107FBF14C18D}"/>
  <bookViews>
    <workbookView xWindow="-96" yWindow="0" windowWidth="11712" windowHeight="13776" firstSheet="2" activeTab="4" xr2:uid="{DDCF3E13-D2E2-4E14-AB9E-6AA60CE09D32}"/>
  </bookViews>
  <sheets>
    <sheet name="AtPCO4" sheetId="8" r:id="rId1"/>
    <sheet name="Sml_PpPCO" sheetId="7" r:id="rId2"/>
    <sheet name="Lrg_PpPCO" sheetId="6" r:id="rId3"/>
    <sheet name="Lrg_FsPCO" sheetId="1" r:id="rId4"/>
    <sheet name="GcPCO" sheetId="5" r:id="rId5"/>
    <sheet name="PuPCO" sheetId="4" r:id="rId6"/>
    <sheet name="Sml_FsPCO" sheetId="3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5" l="1"/>
  <c r="C9" i="8"/>
  <c r="B9" i="8"/>
  <c r="E9" i="8" s="1"/>
  <c r="C7" i="8"/>
  <c r="D7" i="8" s="1"/>
  <c r="E7" i="8" s="1"/>
  <c r="M12" i="8" s="1"/>
  <c r="N12" i="8" s="1"/>
  <c r="B7" i="8"/>
  <c r="C6" i="8"/>
  <c r="D6" i="8" s="1"/>
  <c r="E6" i="8" s="1"/>
  <c r="H17" i="8" s="1"/>
  <c r="B6" i="8"/>
  <c r="D5" i="8"/>
  <c r="E5" i="8" s="1"/>
  <c r="M10" i="8" s="1"/>
  <c r="C5" i="8"/>
  <c r="B5" i="8"/>
  <c r="C4" i="8"/>
  <c r="D4" i="8" s="1"/>
  <c r="E4" i="8" s="1"/>
  <c r="B4" i="8"/>
  <c r="C3" i="8"/>
  <c r="C26" i="8" s="1"/>
  <c r="C27" i="8" s="1"/>
  <c r="B3" i="8"/>
  <c r="H1" i="8"/>
  <c r="D9" i="8" s="1"/>
  <c r="C9" i="7"/>
  <c r="B9" i="7"/>
  <c r="C7" i="7"/>
  <c r="B7" i="7"/>
  <c r="C6" i="7"/>
  <c r="B6" i="7"/>
  <c r="C5" i="7"/>
  <c r="B5" i="7"/>
  <c r="C4" i="7"/>
  <c r="B4" i="7"/>
  <c r="C3" i="7"/>
  <c r="B3" i="7"/>
  <c r="H1" i="7"/>
  <c r="C24" i="7" s="1"/>
  <c r="C9" i="6"/>
  <c r="B9" i="6"/>
  <c r="C7" i="6"/>
  <c r="B7" i="6"/>
  <c r="C6" i="6"/>
  <c r="B6" i="6"/>
  <c r="C5" i="6"/>
  <c r="B5" i="6"/>
  <c r="C4" i="6"/>
  <c r="B4" i="6"/>
  <c r="C3" i="6"/>
  <c r="B3" i="6"/>
  <c r="H1" i="6"/>
  <c r="D5" i="6" s="1"/>
  <c r="E5" i="6" s="1"/>
  <c r="M10" i="6" s="1"/>
  <c r="C9" i="5"/>
  <c r="D9" i="5" s="1"/>
  <c r="E9" i="5" s="1"/>
  <c r="B9" i="5"/>
  <c r="C7" i="5"/>
  <c r="D7" i="5" s="1"/>
  <c r="E7" i="5" s="1"/>
  <c r="M12" i="5" s="1"/>
  <c r="N12" i="5" s="1"/>
  <c r="B7" i="5"/>
  <c r="C6" i="5"/>
  <c r="D6" i="5" s="1"/>
  <c r="E6" i="5" s="1"/>
  <c r="H17" i="5" s="1"/>
  <c r="B6" i="5"/>
  <c r="C5" i="5"/>
  <c r="B5" i="5"/>
  <c r="C4" i="5"/>
  <c r="B4" i="5"/>
  <c r="C3" i="5"/>
  <c r="B3" i="5"/>
  <c r="H1" i="5"/>
  <c r="C24" i="5" s="1"/>
  <c r="C9" i="4"/>
  <c r="B9" i="4"/>
  <c r="C7" i="4"/>
  <c r="D7" i="4" s="1"/>
  <c r="E7" i="4" s="1"/>
  <c r="M12" i="4" s="1"/>
  <c r="N12" i="4" s="1"/>
  <c r="B7" i="4"/>
  <c r="C6" i="4"/>
  <c r="B6" i="4"/>
  <c r="C5" i="4"/>
  <c r="B5" i="4"/>
  <c r="C4" i="4"/>
  <c r="B4" i="4"/>
  <c r="C3" i="4"/>
  <c r="B3" i="4"/>
  <c r="H1" i="4"/>
  <c r="D4" i="4" s="1"/>
  <c r="E4" i="4" s="1"/>
  <c r="C9" i="3"/>
  <c r="B9" i="3"/>
  <c r="C7" i="3"/>
  <c r="B7" i="3"/>
  <c r="C6" i="3"/>
  <c r="D6" i="3" s="1"/>
  <c r="E6" i="3" s="1"/>
  <c r="H17" i="3" s="1"/>
  <c r="B6" i="3"/>
  <c r="C5" i="3"/>
  <c r="D5" i="3" s="1"/>
  <c r="E5" i="3" s="1"/>
  <c r="M10" i="3" s="1"/>
  <c r="B5" i="3"/>
  <c r="C4" i="3"/>
  <c r="B4" i="3"/>
  <c r="C3" i="3"/>
  <c r="C26" i="3" s="1"/>
  <c r="C27" i="3" s="1"/>
  <c r="B3" i="3"/>
  <c r="H1" i="3"/>
  <c r="D4" i="3" s="1"/>
  <c r="E4" i="3" s="1"/>
  <c r="C6" i="1"/>
  <c r="C9" i="1"/>
  <c r="B9" i="1"/>
  <c r="C7" i="1"/>
  <c r="B7" i="1"/>
  <c r="B6" i="1"/>
  <c r="C5" i="1"/>
  <c r="B5" i="1"/>
  <c r="C4" i="1"/>
  <c r="B4" i="1"/>
  <c r="C3" i="1"/>
  <c r="B3" i="1"/>
  <c r="H1" i="1"/>
  <c r="D9" i="1" s="1"/>
  <c r="M13" i="8" l="1"/>
  <c r="N13" i="8" s="1"/>
  <c r="M15" i="8"/>
  <c r="N15" i="8" s="1"/>
  <c r="H10" i="8"/>
  <c r="J10" i="8" s="1"/>
  <c r="N10" i="8"/>
  <c r="N14" i="8" s="1"/>
  <c r="N16" i="8" s="1"/>
  <c r="M14" i="8"/>
  <c r="M16" i="8" s="1"/>
  <c r="H22" i="8"/>
  <c r="I17" i="8"/>
  <c r="D3" i="8"/>
  <c r="E3" i="8" s="1"/>
  <c r="H18" i="8" s="1"/>
  <c r="C24" i="8"/>
  <c r="D7" i="3"/>
  <c r="E7" i="3" s="1"/>
  <c r="M12" i="3" s="1"/>
  <c r="N12" i="3" s="1"/>
  <c r="D9" i="3"/>
  <c r="E9" i="3" s="1"/>
  <c r="D9" i="4"/>
  <c r="E9" i="4" s="1"/>
  <c r="D5" i="4"/>
  <c r="E5" i="4" s="1"/>
  <c r="M10" i="4" s="1"/>
  <c r="D6" i="4"/>
  <c r="E6" i="4" s="1"/>
  <c r="H17" i="4" s="1"/>
  <c r="D3" i="4"/>
  <c r="E3" i="4" s="1"/>
  <c r="D4" i="5"/>
  <c r="E4" i="5" s="1"/>
  <c r="C26" i="5"/>
  <c r="D5" i="5"/>
  <c r="E5" i="5" s="1"/>
  <c r="M10" i="5" s="1"/>
  <c r="M13" i="5" s="1"/>
  <c r="N13" i="5" s="1"/>
  <c r="D9" i="6"/>
  <c r="E9" i="6" s="1"/>
  <c r="M13" i="6" s="1"/>
  <c r="N13" i="6" s="1"/>
  <c r="D7" i="6"/>
  <c r="E7" i="6" s="1"/>
  <c r="M12" i="6" s="1"/>
  <c r="N12" i="6" s="1"/>
  <c r="C26" i="6"/>
  <c r="D4" i="6"/>
  <c r="E4" i="6" s="1"/>
  <c r="D6" i="6"/>
  <c r="E6" i="6" s="1"/>
  <c r="H17" i="6" s="1"/>
  <c r="D7" i="7"/>
  <c r="E7" i="7" s="1"/>
  <c r="M12" i="7" s="1"/>
  <c r="N12" i="7" s="1"/>
  <c r="D6" i="7"/>
  <c r="E6" i="7" s="1"/>
  <c r="H17" i="7" s="1"/>
  <c r="C26" i="7"/>
  <c r="D4" i="7"/>
  <c r="E4" i="7" s="1"/>
  <c r="D5" i="7"/>
  <c r="E5" i="7" s="1"/>
  <c r="M10" i="7" s="1"/>
  <c r="D9" i="7"/>
  <c r="E9" i="7" s="1"/>
  <c r="H10" i="7" s="1"/>
  <c r="J10" i="7" s="1"/>
  <c r="M15" i="7"/>
  <c r="N15" i="7" s="1"/>
  <c r="M13" i="7"/>
  <c r="N13" i="7" s="1"/>
  <c r="M14" i="7"/>
  <c r="M16" i="7" s="1"/>
  <c r="N10" i="7"/>
  <c r="N14" i="7" s="1"/>
  <c r="N16" i="7" s="1"/>
  <c r="H22" i="7"/>
  <c r="I17" i="7"/>
  <c r="D3" i="7"/>
  <c r="E3" i="7" s="1"/>
  <c r="H18" i="7" s="1"/>
  <c r="N10" i="6"/>
  <c r="M15" i="6"/>
  <c r="N15" i="6" s="1"/>
  <c r="H22" i="6"/>
  <c r="I17" i="6"/>
  <c r="C24" i="6"/>
  <c r="D3" i="6"/>
  <c r="E3" i="6" s="1"/>
  <c r="H18" i="6" s="1"/>
  <c r="H22" i="5"/>
  <c r="I17" i="5"/>
  <c r="N10" i="5"/>
  <c r="H10" i="5"/>
  <c r="J10" i="5" s="1"/>
  <c r="M15" i="5"/>
  <c r="N15" i="5" s="1"/>
  <c r="D3" i="5"/>
  <c r="E3" i="5" s="1"/>
  <c r="H18" i="5" s="1"/>
  <c r="M15" i="4"/>
  <c r="N15" i="4" s="1"/>
  <c r="M13" i="4"/>
  <c r="N13" i="4" s="1"/>
  <c r="H10" i="4"/>
  <c r="J10" i="4" s="1"/>
  <c r="N10" i="4"/>
  <c r="N14" i="4" s="1"/>
  <c r="N16" i="4" s="1"/>
  <c r="H22" i="4"/>
  <c r="I17" i="4"/>
  <c r="C24" i="4"/>
  <c r="C26" i="4"/>
  <c r="C27" i="4" s="1"/>
  <c r="H10" i="3"/>
  <c r="J10" i="3" s="1"/>
  <c r="M15" i="3"/>
  <c r="N15" i="3" s="1"/>
  <c r="M13" i="3"/>
  <c r="N13" i="3" s="1"/>
  <c r="N10" i="3"/>
  <c r="N14" i="3" s="1"/>
  <c r="N16" i="3" s="1"/>
  <c r="I17" i="3"/>
  <c r="H22" i="3"/>
  <c r="D3" i="3"/>
  <c r="E3" i="3" s="1"/>
  <c r="H18" i="3" s="1"/>
  <c r="C24" i="3"/>
  <c r="C24" i="1"/>
  <c r="D7" i="1"/>
  <c r="C26" i="1"/>
  <c r="C27" i="1" s="1"/>
  <c r="D6" i="1"/>
  <c r="E6" i="1"/>
  <c r="H17" i="1" s="1"/>
  <c r="E7" i="1"/>
  <c r="M12" i="1" s="1"/>
  <c r="N12" i="1" s="1"/>
  <c r="E9" i="1"/>
  <c r="D5" i="1"/>
  <c r="E5" i="1" s="1"/>
  <c r="M10" i="1" s="1"/>
  <c r="N10" i="1" s="1"/>
  <c r="D3" i="1"/>
  <c r="E3" i="1" s="1"/>
  <c r="H18" i="1" s="1"/>
  <c r="D4" i="1"/>
  <c r="E4" i="1" s="1"/>
  <c r="H23" i="8" l="1"/>
  <c r="I18" i="8"/>
  <c r="E8" i="8"/>
  <c r="H19" i="8"/>
  <c r="N22" i="8"/>
  <c r="M14" i="3"/>
  <c r="M16" i="3" s="1"/>
  <c r="H18" i="4"/>
  <c r="E8" i="4"/>
  <c r="M14" i="4"/>
  <c r="M16" i="4" s="1"/>
  <c r="H10" i="6"/>
  <c r="J10" i="6" s="1"/>
  <c r="E8" i="7"/>
  <c r="I18" i="1"/>
  <c r="H23" i="1"/>
  <c r="H22" i="1"/>
  <c r="I17" i="1"/>
  <c r="H23" i="7"/>
  <c r="I18" i="7"/>
  <c r="N22" i="7"/>
  <c r="H19" i="7"/>
  <c r="H23" i="6"/>
  <c r="I18" i="6"/>
  <c r="N22" i="6"/>
  <c r="H19" i="6"/>
  <c r="H20" i="6" s="1"/>
  <c r="M14" i="6"/>
  <c r="M16" i="6" s="1"/>
  <c r="E8" i="6"/>
  <c r="N14" i="6"/>
  <c r="N16" i="6" s="1"/>
  <c r="N22" i="5"/>
  <c r="I18" i="5"/>
  <c r="H23" i="5"/>
  <c r="M14" i="5"/>
  <c r="M16" i="5" s="1"/>
  <c r="H19" i="5"/>
  <c r="H20" i="5" s="1"/>
  <c r="N14" i="5"/>
  <c r="N16" i="5" s="1"/>
  <c r="E8" i="5"/>
  <c r="N22" i="4"/>
  <c r="I18" i="3"/>
  <c r="H23" i="3"/>
  <c r="E8" i="3"/>
  <c r="N22" i="3"/>
  <c r="H19" i="3"/>
  <c r="N22" i="1"/>
  <c r="M15" i="1"/>
  <c r="N15" i="1" s="1"/>
  <c r="M13" i="1"/>
  <c r="N13" i="1" s="1"/>
  <c r="H10" i="1"/>
  <c r="J10" i="1" s="1"/>
  <c r="E8" i="1"/>
  <c r="H19" i="1"/>
  <c r="H24" i="8" l="1"/>
  <c r="I19" i="8"/>
  <c r="I20" i="8" s="1"/>
  <c r="H20" i="8"/>
  <c r="I18" i="4"/>
  <c r="H19" i="4"/>
  <c r="H23" i="4"/>
  <c r="I19" i="1"/>
  <c r="H24" i="1"/>
  <c r="N23" i="1" s="1"/>
  <c r="I20" i="1"/>
  <c r="H24" i="7"/>
  <c r="I19" i="7"/>
  <c r="I20" i="7" s="1"/>
  <c r="H20" i="7"/>
  <c r="I19" i="6"/>
  <c r="I20" i="6" s="1"/>
  <c r="H24" i="6"/>
  <c r="I19" i="5"/>
  <c r="I20" i="5" s="1"/>
  <c r="H24" i="5"/>
  <c r="H24" i="3"/>
  <c r="I19" i="3"/>
  <c r="I20" i="3" s="1"/>
  <c r="H20" i="3"/>
  <c r="N14" i="1"/>
  <c r="N16" i="1" s="1"/>
  <c r="M14" i="1"/>
  <c r="M16" i="1" s="1"/>
  <c r="H20" i="1"/>
  <c r="N23" i="8" l="1"/>
  <c r="H25" i="8"/>
  <c r="H24" i="4"/>
  <c r="N23" i="4" s="1"/>
  <c r="I19" i="4"/>
  <c r="I20" i="4" s="1"/>
  <c r="H20" i="4"/>
  <c r="N23" i="7"/>
  <c r="H25" i="7"/>
  <c r="N23" i="6"/>
  <c r="H25" i="6"/>
  <c r="N23" i="5"/>
  <c r="H25" i="5"/>
  <c r="N23" i="3"/>
  <c r="H25" i="3"/>
  <c r="H25" i="1"/>
  <c r="H25" i="4" l="1"/>
</calcChain>
</file>

<file path=xl/sharedStrings.xml><?xml version="1.0" encoding="utf-8"?>
<sst xmlns="http://schemas.openxmlformats.org/spreadsheetml/2006/main" count="1010" uniqueCount="89">
  <si>
    <t>Reagent</t>
  </si>
  <si>
    <t>Stock Conc (M)</t>
  </si>
  <si>
    <t>Rxn Conc (M)</t>
  </si>
  <si>
    <t>Moles Needed per rxn</t>
  </si>
  <si>
    <t>Volume per rxn (uL)</t>
  </si>
  <si>
    <t>Total Rxn Volume (dm3)</t>
  </si>
  <si>
    <t>Total Rxn Volume (uL)</t>
  </si>
  <si>
    <t>Enzyme</t>
  </si>
  <si>
    <t>Substrate</t>
  </si>
  <si>
    <t>n</t>
  </si>
  <si>
    <t>No Enz controls</t>
  </si>
  <si>
    <t>&lt;- These two are generally the same</t>
  </si>
  <si>
    <t>TCEP</t>
  </si>
  <si>
    <t>Substrates being tested</t>
  </si>
  <si>
    <t>Protein Batches</t>
  </si>
  <si>
    <t>FeSO4</t>
  </si>
  <si>
    <t xml:space="preserve">Total rxns </t>
  </si>
  <si>
    <t>Ascorbate</t>
  </si>
  <si>
    <t>Inhibitor Conc (mM)</t>
  </si>
  <si>
    <t>Enzyme Concentration (uM)</t>
  </si>
  <si>
    <t>Substrate Conc (uM)</t>
  </si>
  <si>
    <t>Buffer</t>
  </si>
  <si>
    <t>Inhibitor</t>
  </si>
  <si>
    <t>per rxn (uL)</t>
  </si>
  <si>
    <t>MM (uL)</t>
  </si>
  <si>
    <t>Master Mix Needed</t>
  </si>
  <si>
    <t>Make:</t>
  </si>
  <si>
    <t>MM1 is TCEP, Ascorbate, Substrate and Buffer</t>
  </si>
  <si>
    <t>Cofactors</t>
  </si>
  <si>
    <t>Stock Conc</t>
  </si>
  <si>
    <t>Rxn Conc</t>
  </si>
  <si>
    <t>Substrate Stock Conc (mM)</t>
  </si>
  <si>
    <t>TCEP (mM)</t>
  </si>
  <si>
    <t>Total</t>
  </si>
  <si>
    <t>FeSO4 (uM)</t>
  </si>
  <si>
    <t>Ascorbate (mM)</t>
  </si>
  <si>
    <t>uL needed</t>
  </si>
  <si>
    <t>make</t>
  </si>
  <si>
    <t>Total (with Substrate)</t>
  </si>
  <si>
    <t>FeSO4 per rxn</t>
  </si>
  <si>
    <r>
      <t xml:space="preserve">Protocol: Heat thermomixed to desired temperature and put reaction plate in. Add </t>
    </r>
    <r>
      <rPr>
        <b/>
        <sz val="8"/>
        <color theme="1"/>
        <rFont val="Calibri"/>
        <family val="2"/>
        <scheme val="minor"/>
      </rPr>
      <t>17.5</t>
    </r>
    <r>
      <rPr>
        <sz val="8"/>
        <color theme="1"/>
        <rFont val="Calibri"/>
        <family val="2"/>
        <scheme val="minor"/>
      </rPr>
      <t xml:space="preserve"> uL MM1 to A2,B2, C2, D2, E2, F2. Add </t>
    </r>
    <r>
      <rPr>
        <b/>
        <sz val="8"/>
        <color theme="1"/>
        <rFont val="Calibri"/>
        <family val="2"/>
        <scheme val="minor"/>
      </rPr>
      <t>19</t>
    </r>
    <r>
      <rPr>
        <sz val="8"/>
        <color theme="1"/>
        <rFont val="Calibri"/>
        <family val="2"/>
        <scheme val="minor"/>
      </rPr>
      <t xml:space="preserve"> uL MM0 to A1, B1, C1. Add </t>
    </r>
    <r>
      <rPr>
        <b/>
        <sz val="8"/>
        <color theme="1"/>
        <rFont val="Calibri"/>
        <family val="2"/>
        <scheme val="minor"/>
      </rPr>
      <t>19</t>
    </r>
    <r>
      <rPr>
        <sz val="8"/>
        <color theme="1"/>
        <rFont val="Calibri"/>
        <family val="2"/>
        <scheme val="minor"/>
      </rPr>
      <t xml:space="preserve"> uL EM to D1, E1, F1. Start timer for pre-incubation. When pre-incubation time is almost up take </t>
    </r>
    <r>
      <rPr>
        <b/>
        <sz val="8"/>
        <color theme="1"/>
        <rFont val="Calibri"/>
        <family val="2"/>
        <scheme val="minor"/>
      </rPr>
      <t>2.5</t>
    </r>
    <r>
      <rPr>
        <sz val="8"/>
        <color theme="1"/>
        <rFont val="Calibri"/>
        <family val="2"/>
        <scheme val="minor"/>
      </rPr>
      <t xml:space="preserve"> uL from wells A1-F1 and add to A1-F1 in quench plate. Add </t>
    </r>
    <r>
      <rPr>
        <b/>
        <sz val="8"/>
        <color theme="1"/>
        <rFont val="Calibri"/>
        <family val="2"/>
        <scheme val="minor"/>
      </rPr>
      <t>2.5</t>
    </r>
    <r>
      <rPr>
        <sz val="8"/>
        <color theme="1"/>
        <rFont val="Calibri"/>
        <family val="2"/>
        <scheme val="minor"/>
      </rPr>
      <t xml:space="preserve"> uL from wells A2-F2 to wells A1-F1 in quench plate. Stop and reset timer ready for assay. Add </t>
    </r>
    <r>
      <rPr>
        <b/>
        <sz val="8"/>
        <color theme="1"/>
        <rFont val="Calibri"/>
        <family val="2"/>
        <scheme val="minor"/>
      </rPr>
      <t>15</t>
    </r>
    <r>
      <rPr>
        <sz val="8"/>
        <color theme="1"/>
        <rFont val="Calibri"/>
        <family val="2"/>
        <scheme val="minor"/>
      </rPr>
      <t xml:space="preserve"> uL from wells A1-F1 to wells A2-F2 in reaction plate and mix by pipetting up and down 6-7 times. Start timer. At first time point take 5 uL from wells A2-F2 in reaction plate and add to wells A2-F2 in quench plate. Repeat for other time points using the appropriate column on the quench plate. </t>
    </r>
  </si>
  <si>
    <t>Enz per rxn</t>
  </si>
  <si>
    <t xml:space="preserve">Buffer per rxn </t>
  </si>
  <si>
    <t>EM</t>
  </si>
  <si>
    <t>Enzyme Stock Concentration (uM):</t>
  </si>
  <si>
    <t>MM0</t>
  </si>
  <si>
    <t>umols substrate per reaction:</t>
  </si>
  <si>
    <t>Needed to calculate turnover later</t>
  </si>
  <si>
    <t>MW enzyme (Da):</t>
  </si>
  <si>
    <t>MW</t>
  </si>
  <si>
    <t>EM is FeSO4, enzyme and buffer</t>
  </si>
  <si>
    <t>moles enzyme per reaction:</t>
  </si>
  <si>
    <t>PCO4</t>
  </si>
  <si>
    <t>mg enzyme per reaction:</t>
  </si>
  <si>
    <t>PCO5</t>
  </si>
  <si>
    <t>A</t>
  </si>
  <si>
    <t>MM1</t>
  </si>
  <si>
    <t>No enzyme controls</t>
  </si>
  <si>
    <t>n=1</t>
  </si>
  <si>
    <t>B</t>
  </si>
  <si>
    <t>n=2</t>
  </si>
  <si>
    <t>C</t>
  </si>
  <si>
    <t>n=3</t>
  </si>
  <si>
    <t>D</t>
  </si>
  <si>
    <t>Reaction wells</t>
  </si>
  <si>
    <t>E</t>
  </si>
  <si>
    <t>F</t>
  </si>
  <si>
    <t>G</t>
  </si>
  <si>
    <t>Quench Plate</t>
  </si>
  <si>
    <t>Time Point:</t>
  </si>
  <si>
    <t>0 time point</t>
  </si>
  <si>
    <t xml:space="preserve">time point 1 </t>
  </si>
  <si>
    <t>time point 2</t>
  </si>
  <si>
    <t>time point 3</t>
  </si>
  <si>
    <t>time point 4</t>
  </si>
  <si>
    <t>No Enz 1</t>
  </si>
  <si>
    <t>No Enz 2</t>
  </si>
  <si>
    <t>No Enz 3</t>
  </si>
  <si>
    <t>Reaction 1</t>
  </si>
  <si>
    <t>Reaction 2</t>
  </si>
  <si>
    <t>Reaction 3</t>
  </si>
  <si>
    <t>H</t>
  </si>
  <si>
    <t xml:space="preserve">All wells in use should have 45 uL of formic acid quench solution </t>
  </si>
  <si>
    <t>Reaction Plate - On Thermomixer</t>
  </si>
  <si>
    <t>NOTE: Originally make column was vol*1.2</t>
  </si>
  <si>
    <t>I had issues with volume of EM/MM0</t>
  </si>
  <si>
    <t>so did *1.4</t>
  </si>
  <si>
    <t>NOTE: Originally make column was vol*1.2 but I had issues with volume of mastermixes, so did *1.4 instead</t>
  </si>
  <si>
    <t>29.01 - 90uL as doing 13 timepoints, not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</si>
</sst>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2" fillId="0" borderId="1" xfId="0" applyFont="1" applyBorder="1"/>
    <xf numFmtId="11" fontId="2" fillId="0" borderId="1" xfId="0" applyNumberFormat="1" applyFont="1" applyBorder="1"/>
    <xf numFmtId="11" fontId="0" fillId="2" borderId="0" xfId="0" applyNumberFormat="1" applyFill="1"/>
    <xf numFmtId="0" fontId="0" fillId="2" borderId="0" xfId="0" applyFill="1"/>
    <xf numFmtId="0" fontId="0" fillId="0" borderId="1" xfId="0" applyBorder="1"/>
    <xf numFmtId="11" fontId="0" fillId="0" borderId="2" xfId="0" applyNumberFormat="1" applyBorder="1"/>
    <xf numFmtId="11" fontId="0" fillId="0" borderId="1" xfId="0" applyNumberFormat="1" applyBorder="1"/>
    <xf numFmtId="0" fontId="0" fillId="0" borderId="3" xfId="0" applyBorder="1"/>
    <xf numFmtId="0" fontId="2" fillId="3" borderId="4" xfId="0" applyFont="1" applyFill="1" applyBorder="1"/>
    <xf numFmtId="11" fontId="4" fillId="4" borderId="1" xfId="0" applyNumberFormat="1" applyFont="1" applyFill="1" applyBorder="1"/>
    <xf numFmtId="11" fontId="4" fillId="3" borderId="5" xfId="0" applyNumberFormat="1" applyFont="1" applyFill="1" applyBorder="1"/>
    <xf numFmtId="11" fontId="0" fillId="3" borderId="1" xfId="0" applyNumberFormat="1" applyFill="1" applyBorder="1"/>
    <xf numFmtId="164" fontId="0" fillId="3" borderId="1" xfId="0" applyNumberFormat="1" applyFill="1" applyBorder="1"/>
    <xf numFmtId="0" fontId="2" fillId="5" borderId="4" xfId="0" applyFont="1" applyFill="1" applyBorder="1"/>
    <xf numFmtId="11" fontId="4" fillId="5" borderId="5" xfId="0" applyNumberFormat="1" applyFont="1" applyFill="1" applyBorder="1"/>
    <xf numFmtId="11" fontId="0" fillId="5" borderId="1" xfId="0" applyNumberFormat="1" applyFill="1" applyBorder="1"/>
    <xf numFmtId="164" fontId="0" fillId="5" borderId="1" xfId="0" applyNumberFormat="1" applyFill="1" applyBorder="1"/>
    <xf numFmtId="0" fontId="1" fillId="0" borderId="6" xfId="0" applyFont="1" applyBorder="1"/>
    <xf numFmtId="0" fontId="0" fillId="0" borderId="2" xfId="0" applyBorder="1"/>
    <xf numFmtId="0" fontId="2" fillId="6" borderId="4" xfId="0" applyFont="1" applyFill="1" applyBorder="1"/>
    <xf numFmtId="11" fontId="4" fillId="6" borderId="5" xfId="0" applyNumberFormat="1" applyFont="1" applyFill="1" applyBorder="1"/>
    <xf numFmtId="11" fontId="0" fillId="6" borderId="1" xfId="0" applyNumberFormat="1" applyFill="1" applyBorder="1"/>
    <xf numFmtId="164" fontId="0" fillId="6" borderId="1" xfId="0" applyNumberFormat="1" applyFill="1" applyBorder="1"/>
    <xf numFmtId="0" fontId="1" fillId="0" borderId="7" xfId="0" applyFont="1" applyBorder="1"/>
    <xf numFmtId="0" fontId="2" fillId="6" borderId="8" xfId="0" applyFont="1" applyFill="1" applyBorder="1"/>
    <xf numFmtId="11" fontId="4" fillId="6" borderId="9" xfId="0" applyNumberFormat="1" applyFont="1" applyFill="1" applyBorder="1"/>
    <xf numFmtId="11" fontId="0" fillId="6" borderId="2" xfId="0" applyNumberFormat="1" applyFill="1" applyBorder="1"/>
    <xf numFmtId="164" fontId="0" fillId="6" borderId="2" xfId="0" applyNumberFormat="1" applyFill="1" applyBorder="1"/>
    <xf numFmtId="0" fontId="0" fillId="7" borderId="3" xfId="0" applyFill="1" applyBorder="1"/>
    <xf numFmtId="0" fontId="1" fillId="7" borderId="12" xfId="0" applyFont="1" applyFill="1" applyBorder="1"/>
    <xf numFmtId="165" fontId="1" fillId="0" borderId="13" xfId="0" applyNumberFormat="1" applyFont="1" applyBorder="1"/>
    <xf numFmtId="0" fontId="2" fillId="8" borderId="1" xfId="0" applyFont="1" applyFill="1" applyBorder="1"/>
    <xf numFmtId="11" fontId="0" fillId="8" borderId="14" xfId="0" applyNumberFormat="1" applyFill="1" applyBorder="1"/>
    <xf numFmtId="11" fontId="0" fillId="8" borderId="1" xfId="0" applyNumberFormat="1" applyFill="1" applyBorder="1"/>
    <xf numFmtId="2" fontId="0" fillId="8" borderId="1" xfId="0" applyNumberFormat="1" applyFill="1" applyBorder="1"/>
    <xf numFmtId="0" fontId="2" fillId="7" borderId="15" xfId="0" applyFont="1" applyFill="1" applyBorder="1"/>
    <xf numFmtId="11" fontId="4" fillId="7" borderId="1" xfId="0" applyNumberFormat="1" applyFont="1" applyFill="1" applyBorder="1"/>
    <xf numFmtId="11" fontId="0" fillId="7" borderId="16" xfId="0" applyNumberFormat="1" applyFill="1" applyBorder="1"/>
    <xf numFmtId="11" fontId="0" fillId="7" borderId="14" xfId="0" applyNumberFormat="1" applyFill="1" applyBorder="1"/>
    <xf numFmtId="164" fontId="0" fillId="7" borderId="14" xfId="0" applyNumberFormat="1" applyFill="1" applyBorder="1"/>
    <xf numFmtId="11" fontId="0" fillId="0" borderId="0" xfId="0" applyNumberFormat="1"/>
    <xf numFmtId="1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0" fontId="2" fillId="0" borderId="17" xfId="0" applyFont="1" applyBorder="1"/>
    <xf numFmtId="11" fontId="2" fillId="0" borderId="18" xfId="0" applyNumberFormat="1" applyFont="1" applyBorder="1"/>
    <xf numFmtId="11" fontId="2" fillId="0" borderId="19" xfId="0" applyNumberFormat="1" applyFont="1" applyBorder="1"/>
    <xf numFmtId="11" fontId="0" fillId="0" borderId="10" xfId="0" applyNumberFormat="1" applyBorder="1"/>
    <xf numFmtId="1" fontId="1" fillId="9" borderId="13" xfId="0" applyNumberFormat="1" applyFont="1" applyFill="1" applyBorder="1"/>
    <xf numFmtId="0" fontId="2" fillId="6" borderId="22" xfId="0" applyFont="1" applyFill="1" applyBorder="1"/>
    <xf numFmtId="1" fontId="1" fillId="0" borderId="23" xfId="0" applyNumberFormat="1" applyFont="1" applyBorder="1"/>
    <xf numFmtId="1" fontId="1" fillId="0" borderId="24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1" fontId="1" fillId="7" borderId="24" xfId="0" applyNumberFormat="1" applyFont="1" applyFill="1" applyBorder="1" applyAlignment="1">
      <alignment vertical="center"/>
    </xf>
    <xf numFmtId="0" fontId="2" fillId="9" borderId="1" xfId="0" applyFont="1" applyFill="1" applyBorder="1"/>
    <xf numFmtId="0" fontId="2" fillId="6" borderId="25" xfId="0" applyFont="1" applyFill="1" applyBorder="1"/>
    <xf numFmtId="1" fontId="1" fillId="0" borderId="26" xfId="0" applyNumberFormat="1" applyFont="1" applyBorder="1"/>
    <xf numFmtId="1" fontId="1" fillId="0" borderId="27" xfId="0" applyNumberFormat="1" applyFont="1" applyBorder="1" applyAlignment="1">
      <alignment vertical="center"/>
    </xf>
    <xf numFmtId="2" fontId="0" fillId="0" borderId="0" xfId="0" applyNumberFormat="1"/>
    <xf numFmtId="1" fontId="0" fillId="0" borderId="0" xfId="0" applyNumberFormat="1"/>
    <xf numFmtId="0" fontId="2" fillId="3" borderId="1" xfId="0" applyFont="1" applyFill="1" applyBorder="1"/>
    <xf numFmtId="0" fontId="0" fillId="3" borderId="1" xfId="0" applyFill="1" applyBorder="1"/>
    <xf numFmtId="0" fontId="0" fillId="0" borderId="0" xfId="0" applyAlignment="1">
      <alignment vertical="center" wrapText="1"/>
    </xf>
    <xf numFmtId="2" fontId="2" fillId="3" borderId="1" xfId="0" applyNumberFormat="1" applyFont="1" applyFill="1" applyBorder="1"/>
    <xf numFmtId="11" fontId="7" fillId="0" borderId="1" xfId="0" applyNumberFormat="1" applyFont="1" applyBorder="1" applyAlignment="1">
      <alignment vertical="center"/>
    </xf>
    <xf numFmtId="11" fontId="1" fillId="0" borderId="1" xfId="0" applyNumberFormat="1" applyFont="1" applyBorder="1"/>
    <xf numFmtId="11" fontId="0" fillId="10" borderId="1" xfId="0" applyNumberFormat="1" applyFill="1" applyBorder="1"/>
    <xf numFmtId="0" fontId="0" fillId="10" borderId="1" xfId="0" applyFill="1" applyBorder="1"/>
    <xf numFmtId="0" fontId="0" fillId="3" borderId="5" xfId="0" applyFill="1" applyBorder="1"/>
    <xf numFmtId="2" fontId="0" fillId="3" borderId="1" xfId="0" applyNumberFormat="1" applyFill="1" applyBorder="1"/>
    <xf numFmtId="11" fontId="7" fillId="0" borderId="1" xfId="0" applyNumberFormat="1" applyFont="1" applyBorder="1"/>
    <xf numFmtId="0" fontId="0" fillId="0" borderId="1" xfId="0" applyBorder="1" applyAlignment="1">
      <alignment wrapText="1"/>
    </xf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6" borderId="1" xfId="0" applyFill="1" applyBorder="1"/>
    <xf numFmtId="0" fontId="0" fillId="4" borderId="1" xfId="0" applyFill="1" applyBorder="1"/>
    <xf numFmtId="0" fontId="0" fillId="0" borderId="36" xfId="0" applyBorder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0" fillId="0" borderId="28" xfId="0" applyBorder="1" applyAlignment="1">
      <alignment wrapText="1"/>
    </xf>
    <xf numFmtId="0" fontId="0" fillId="4" borderId="28" xfId="0" applyFill="1" applyBorder="1" applyAlignment="1">
      <alignment wrapText="1"/>
    </xf>
    <xf numFmtId="0" fontId="0" fillId="0" borderId="4" xfId="0" applyBorder="1" applyAlignment="1">
      <alignment wrapText="1"/>
    </xf>
    <xf numFmtId="0" fontId="11" fillId="0" borderId="1" xfId="0" applyFont="1" applyBorder="1"/>
    <xf numFmtId="0" fontId="0" fillId="11" borderId="1" xfId="0" applyFill="1" applyBorder="1"/>
    <xf numFmtId="0" fontId="0" fillId="4" borderId="4" xfId="0" applyFill="1" applyBorder="1" applyAlignment="1">
      <alignment wrapText="1"/>
    </xf>
    <xf numFmtId="0" fontId="0" fillId="0" borderId="4" xfId="0" applyBorder="1"/>
    <xf numFmtId="0" fontId="11" fillId="0" borderId="1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0" xfId="0"/>
    <xf numFmtId="0" fontId="0" fillId="0" borderId="1" xfId="0" applyBorder="1" applyAlignment="1">
      <alignment horizontal="left" wrapText="1"/>
    </xf>
    <xf numFmtId="1" fontId="0" fillId="0" borderId="2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0" fillId="0" borderId="29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2" xfId="0" applyFont="1" applyFill="1" applyBorder="1" applyAlignment="1">
      <alignment horizontal="center" vertical="center" wrapText="1"/>
    </xf>
    <xf numFmtId="0" fontId="1" fillId="7" borderId="3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28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7" borderId="15" xfId="0" applyFill="1" applyBorder="1" applyAlignment="1">
      <alignment horizontal="center" wrapText="1"/>
    </xf>
    <xf numFmtId="0" fontId="0" fillId="7" borderId="35" xfId="0" applyFill="1" applyBorder="1" applyAlignment="1">
      <alignment horizontal="center" wrapText="1"/>
    </xf>
    <xf numFmtId="0" fontId="0" fillId="7" borderId="16" xfId="0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3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E848B-C2F3-444D-A3BF-2B076BBA26A6}">
  <sheetPr>
    <pageSetUpPr fitToPage="1"/>
  </sheetPr>
  <dimension ref="A1:O51"/>
  <sheetViews>
    <sheetView topLeftCell="C1" zoomScale="91" zoomScaleNormal="52" workbookViewId="0">
      <selection activeCell="K24" sqref="K24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9.0000000000000006E-5</v>
      </c>
      <c r="J1" s="89"/>
      <c r="K1" s="90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90</v>
      </c>
      <c r="I2" t="s">
        <v>88</v>
      </c>
      <c r="J2" s="90"/>
      <c r="K2" s="90"/>
    </row>
    <row r="3" spans="1:15" ht="15" thickBot="1" x14ac:dyDescent="0.35">
      <c r="A3" s="9" t="s">
        <v>7</v>
      </c>
      <c r="B3" s="10">
        <f>K21/1000000</f>
        <v>9.1324000000000009E-6</v>
      </c>
      <c r="C3" s="11">
        <f>L7/1000000</f>
        <v>9.9999999999999995E-7</v>
      </c>
      <c r="D3" s="12">
        <f>C3*H1</f>
        <v>8.9999999999999999E-11</v>
      </c>
      <c r="E3" s="13">
        <f>1000000*(D3/B3)</f>
        <v>9.8550216810476972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1E-4</v>
      </c>
      <c r="D4" s="16">
        <f>C4*H1</f>
        <v>9.0000000000000012E-9</v>
      </c>
      <c r="E4" s="17">
        <f>1000000*(D4/B4)</f>
        <v>0.9</v>
      </c>
      <c r="G4" s="8" t="s">
        <v>9</v>
      </c>
      <c r="H4" s="18">
        <v>3</v>
      </c>
      <c r="J4" s="19" t="s">
        <v>10</v>
      </c>
      <c r="K4" s="19">
        <v>1</v>
      </c>
      <c r="L4" s="91" t="s">
        <v>11</v>
      </c>
      <c r="M4" s="91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4.5000000000000003E-7</v>
      </c>
      <c r="E5" s="23">
        <f>1000000*(D5/B5)</f>
        <v>0.9</v>
      </c>
      <c r="G5" s="8" t="s">
        <v>13</v>
      </c>
      <c r="H5" s="24">
        <v>1</v>
      </c>
      <c r="J5" s="8" t="s">
        <v>14</v>
      </c>
      <c r="K5" s="18">
        <v>1</v>
      </c>
      <c r="L5" s="91"/>
      <c r="M5" s="91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5.4000000000000004E-9</v>
      </c>
      <c r="E6" s="23">
        <f>1000000*(D6/B6)</f>
        <v>2.7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9.0000000000000012E-8</v>
      </c>
      <c r="E7" s="28">
        <f>1000000*(D7/B7)</f>
        <v>0.9</v>
      </c>
      <c r="G7" s="29" t="s">
        <v>18</v>
      </c>
      <c r="H7" s="18">
        <v>0</v>
      </c>
      <c r="J7" s="92" t="s">
        <v>19</v>
      </c>
      <c r="K7" s="93"/>
      <c r="L7" s="30">
        <v>1</v>
      </c>
      <c r="M7" s="94" t="s">
        <v>20</v>
      </c>
      <c r="N7" s="95"/>
      <c r="O7" s="31">
        <v>100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74.744978318952306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264.60000000000002</v>
      </c>
      <c r="I10" s="5" t="s">
        <v>26</v>
      </c>
      <c r="J10" s="5">
        <f>H10*1.2</f>
        <v>317.52000000000004</v>
      </c>
      <c r="K10" s="5"/>
      <c r="L10" s="5" t="s">
        <v>12</v>
      </c>
      <c r="M10" s="43">
        <f>E5</f>
        <v>0.9</v>
      </c>
      <c r="N10" s="1">
        <f>1.4*M10*H6</f>
        <v>7.5600000000000005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96" t="s">
        <v>27</v>
      </c>
      <c r="H12" s="97"/>
      <c r="I12" s="5"/>
      <c r="J12" s="5"/>
      <c r="K12" s="5"/>
      <c r="L12" s="5" t="s">
        <v>17</v>
      </c>
      <c r="M12" s="43">
        <f>E7</f>
        <v>0.9</v>
      </c>
      <c r="N12" s="1">
        <f>1.4*M12*H6</f>
        <v>7.5600000000000005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98"/>
      <c r="H13" s="99"/>
      <c r="I13" s="5"/>
      <c r="J13" s="5"/>
      <c r="K13" s="5"/>
      <c r="L13" s="5" t="s">
        <v>21</v>
      </c>
      <c r="M13" s="43">
        <f>(H2/2)-SUM(M10:M12)-E4-E9</f>
        <v>42.300000000000004</v>
      </c>
      <c r="N13" s="1">
        <f>1.4*M13*H6</f>
        <v>355.32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2"/>
      <c r="G14" s="100"/>
      <c r="H14" s="101"/>
      <c r="I14" s="5"/>
      <c r="J14" s="5"/>
      <c r="K14" s="5"/>
      <c r="L14" s="5" t="s">
        <v>33</v>
      </c>
      <c r="M14" s="5">
        <f>SUM(M10:M13)</f>
        <v>44.1</v>
      </c>
      <c r="N14" s="5">
        <f>SUM(N10:N13)</f>
        <v>370.44</v>
      </c>
    </row>
    <row r="15" spans="1:15" x14ac:dyDescent="0.3">
      <c r="A15" s="50" t="s">
        <v>34</v>
      </c>
      <c r="B15" s="51">
        <v>2000</v>
      </c>
      <c r="C15" s="54">
        <v>20</v>
      </c>
      <c r="D15" s="102"/>
      <c r="E15" s="102"/>
      <c r="L15" s="5" t="s">
        <v>8</v>
      </c>
      <c r="M15" s="42">
        <f>E4</f>
        <v>0.9</v>
      </c>
      <c r="N15" s="55">
        <f>1.4*M15*H6</f>
        <v>7.5600000000000005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2"/>
      <c r="E16" s="102"/>
      <c r="H16" t="s">
        <v>36</v>
      </c>
      <c r="I16" t="s">
        <v>37</v>
      </c>
      <c r="L16" s="103" t="s">
        <v>38</v>
      </c>
      <c r="M16" s="104">
        <f>M14+M15</f>
        <v>45</v>
      </c>
      <c r="N16" s="107">
        <f>SUM(N14:N15)</f>
        <v>378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2.7</v>
      </c>
      <c r="I17" s="59">
        <f>H17*1.4</f>
        <v>3.78</v>
      </c>
      <c r="J17" t="s">
        <v>84</v>
      </c>
      <c r="L17" s="103"/>
      <c r="M17" s="105"/>
      <c r="N17" s="105"/>
    </row>
    <row r="18" spans="1:14" x14ac:dyDescent="0.3">
      <c r="A18" s="108" t="s">
        <v>40</v>
      </c>
      <c r="B18" s="108"/>
      <c r="C18" s="108"/>
      <c r="D18" s="108"/>
      <c r="E18" s="108"/>
      <c r="G18" t="s">
        <v>41</v>
      </c>
      <c r="H18" s="59">
        <f>E3</f>
        <v>9.8550216810476972</v>
      </c>
      <c r="I18" s="59">
        <f>H18*1.4</f>
        <v>13.797030353466775</v>
      </c>
      <c r="J18" t="s">
        <v>85</v>
      </c>
      <c r="L18" s="103"/>
      <c r="M18" s="106"/>
      <c r="N18" s="106"/>
    </row>
    <row r="19" spans="1:14" ht="15" customHeight="1" x14ac:dyDescent="0.3">
      <c r="A19" s="108"/>
      <c r="B19" s="108"/>
      <c r="C19" s="108"/>
      <c r="D19" s="108"/>
      <c r="E19" s="108"/>
      <c r="G19" t="s">
        <v>42</v>
      </c>
      <c r="H19" s="59">
        <f>(H2/2)-H17-H18</f>
        <v>32.444978318952302</v>
      </c>
      <c r="I19">
        <f>H19*1.4</f>
        <v>45.422969646533218</v>
      </c>
      <c r="J19" t="s">
        <v>86</v>
      </c>
    </row>
    <row r="20" spans="1:14" ht="15.75" customHeight="1" thickBot="1" x14ac:dyDescent="0.35">
      <c r="A20" s="108"/>
      <c r="B20" s="108"/>
      <c r="C20" s="108"/>
      <c r="D20" s="108"/>
      <c r="E20" s="108"/>
      <c r="G20" t="s">
        <v>33</v>
      </c>
      <c r="H20" s="60">
        <f>SUM(H17:H19)</f>
        <v>45</v>
      </c>
      <c r="I20" s="60">
        <f>SUM(I17:I19)</f>
        <v>62.999999999999993</v>
      </c>
    </row>
    <row r="21" spans="1:14" ht="15" customHeight="1" x14ac:dyDescent="0.3">
      <c r="A21" s="108"/>
      <c r="B21" s="108"/>
      <c r="C21" s="108"/>
      <c r="D21" s="108"/>
      <c r="E21" s="108"/>
      <c r="G21" s="61" t="s">
        <v>43</v>
      </c>
      <c r="H21" s="62"/>
      <c r="J21" s="109" t="s">
        <v>44</v>
      </c>
      <c r="K21" s="112">
        <v>9.1324000000000005</v>
      </c>
      <c r="L21" s="63"/>
      <c r="M21" s="63" t="s">
        <v>45</v>
      </c>
    </row>
    <row r="22" spans="1:14" ht="15" customHeight="1" x14ac:dyDescent="0.3">
      <c r="A22" s="108"/>
      <c r="B22" s="108"/>
      <c r="C22" s="108"/>
      <c r="D22" s="108"/>
      <c r="E22" s="108"/>
      <c r="G22" s="62" t="s">
        <v>15</v>
      </c>
      <c r="H22" s="64">
        <f>1.4*H17*($H$5*$H$4)</f>
        <v>11.34</v>
      </c>
      <c r="I22" s="59"/>
      <c r="J22" s="110"/>
      <c r="K22" s="113"/>
      <c r="L22" s="63"/>
      <c r="M22" s="62" t="s">
        <v>15</v>
      </c>
      <c r="N22" s="64">
        <f>H22</f>
        <v>11.34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1.4*H18*($H$5*$H$4)</f>
        <v>41.391091060400328</v>
      </c>
      <c r="I23" s="59"/>
      <c r="J23" s="111"/>
      <c r="K23" s="114"/>
      <c r="L23" s="63"/>
      <c r="M23" s="62" t="s">
        <v>21</v>
      </c>
      <c r="N23" s="64">
        <f>H24+H23</f>
        <v>177.66</v>
      </c>
    </row>
    <row r="24" spans="1:14" x14ac:dyDescent="0.3">
      <c r="A24" s="126" t="s">
        <v>46</v>
      </c>
      <c r="B24" s="126"/>
      <c r="C24" s="65">
        <f>(C4*H1)*1000000</f>
        <v>9.0000000000000011E-3</v>
      </c>
      <c r="D24" s="127" t="s">
        <v>47</v>
      </c>
      <c r="E24" s="53"/>
      <c r="G24" s="62" t="s">
        <v>21</v>
      </c>
      <c r="H24" s="64">
        <f>1.4*H19*($H$5*$H$4)</f>
        <v>136.26890893959967</v>
      </c>
      <c r="J24" s="63"/>
      <c r="K24" s="63"/>
      <c r="L24" s="63"/>
    </row>
    <row r="25" spans="1:14" x14ac:dyDescent="0.3">
      <c r="A25" s="128" t="s">
        <v>48</v>
      </c>
      <c r="B25" s="128"/>
      <c r="C25" s="66">
        <v>29346</v>
      </c>
      <c r="D25" s="127"/>
      <c r="E25" s="67"/>
      <c r="F25" s="68" t="s">
        <v>49</v>
      </c>
      <c r="G25" s="69" t="s">
        <v>33</v>
      </c>
      <c r="H25" s="70">
        <f>SUM(H22:H24)</f>
        <v>189</v>
      </c>
      <c r="J25" s="63" t="s">
        <v>50</v>
      </c>
      <c r="K25" s="63"/>
      <c r="L25" s="63"/>
      <c r="M25" s="63"/>
    </row>
    <row r="26" spans="1:14" x14ac:dyDescent="0.3">
      <c r="A26" s="128" t="s">
        <v>51</v>
      </c>
      <c r="B26" s="128"/>
      <c r="C26" s="7">
        <f>C3*H1</f>
        <v>8.9999999999999999E-11</v>
      </c>
      <c r="D26" s="127"/>
      <c r="E26" s="67" t="s">
        <v>52</v>
      </c>
      <c r="F26" s="68">
        <v>29346</v>
      </c>
      <c r="I26" t="s">
        <v>87</v>
      </c>
    </row>
    <row r="27" spans="1:14" x14ac:dyDescent="0.3">
      <c r="A27" s="128" t="s">
        <v>53</v>
      </c>
      <c r="B27" s="128"/>
      <c r="C27" s="71">
        <f>C26*C25*1000</f>
        <v>2.6411399999999997E-3</v>
      </c>
      <c r="D27" s="127"/>
      <c r="E27" s="67" t="s">
        <v>54</v>
      </c>
      <c r="F27" s="68">
        <v>29386</v>
      </c>
    </row>
    <row r="29" spans="1:14" x14ac:dyDescent="0.3">
      <c r="A29" s="129" t="s">
        <v>83</v>
      </c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115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116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117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118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119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120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121" t="s">
        <v>68</v>
      </c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123" t="s">
        <v>82</v>
      </c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5"/>
    </row>
  </sheetData>
  <mergeCells count="23">
    <mergeCell ref="J1:K2"/>
    <mergeCell ref="L4:M5"/>
    <mergeCell ref="J7:K7"/>
    <mergeCell ref="M7:N7"/>
    <mergeCell ref="G12:H14"/>
    <mergeCell ref="D15:D16"/>
    <mergeCell ref="L16:L18"/>
    <mergeCell ref="M16:M18"/>
    <mergeCell ref="N16:N18"/>
    <mergeCell ref="A18:E22"/>
    <mergeCell ref="J21:J23"/>
    <mergeCell ref="K21:K23"/>
    <mergeCell ref="E14:E16"/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</mergeCells>
  <pageMargins left="0.7" right="0.7" top="0.75" bottom="0.75" header="0.3" footer="0.3"/>
  <pageSetup paperSize="9" scale="5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3104F-19EB-46D7-B8D6-EDADFF4934B8}">
  <sheetPr>
    <pageSetUpPr fitToPage="1"/>
  </sheetPr>
  <dimension ref="A1:O51"/>
  <sheetViews>
    <sheetView topLeftCell="B1" zoomScale="91" zoomScaleNormal="52" workbookViewId="0">
      <selection activeCell="K24" sqref="K24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9.0000000000000006E-5</v>
      </c>
      <c r="J1" s="89"/>
      <c r="K1" s="90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90</v>
      </c>
      <c r="J2" s="90"/>
      <c r="K2" s="90"/>
    </row>
    <row r="3" spans="1:15" ht="15" thickBot="1" x14ac:dyDescent="0.35">
      <c r="A3" s="9" t="s">
        <v>7</v>
      </c>
      <c r="B3" s="10">
        <f>K21/1000000</f>
        <v>9.8214000000000005E-6</v>
      </c>
      <c r="C3" s="11">
        <f>L7/1000000</f>
        <v>9.9999999999999995E-7</v>
      </c>
      <c r="D3" s="12">
        <f>C3*H1</f>
        <v>8.9999999999999999E-11</v>
      </c>
      <c r="E3" s="13">
        <f>1000000*(D3/B3)</f>
        <v>9.1636630215651529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1E-4</v>
      </c>
      <c r="D4" s="16">
        <f>C4*H1</f>
        <v>9.0000000000000012E-9</v>
      </c>
      <c r="E4" s="17">
        <f>1000000*(D4/B4)</f>
        <v>0.9</v>
      </c>
      <c r="G4" s="8" t="s">
        <v>9</v>
      </c>
      <c r="H4" s="18">
        <v>3</v>
      </c>
      <c r="J4" s="19" t="s">
        <v>10</v>
      </c>
      <c r="K4" s="19">
        <v>1</v>
      </c>
      <c r="L4" s="91" t="s">
        <v>11</v>
      </c>
      <c r="M4" s="91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4.5000000000000003E-7</v>
      </c>
      <c r="E5" s="23">
        <f>1000000*(D5/B5)</f>
        <v>0.9</v>
      </c>
      <c r="G5" s="8" t="s">
        <v>13</v>
      </c>
      <c r="H5" s="24">
        <v>1</v>
      </c>
      <c r="J5" s="8" t="s">
        <v>14</v>
      </c>
      <c r="K5" s="18">
        <v>1</v>
      </c>
      <c r="L5" s="91"/>
      <c r="M5" s="91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5.4000000000000004E-9</v>
      </c>
      <c r="E6" s="23">
        <f>1000000*(D6/B6)</f>
        <v>2.7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9.0000000000000012E-8</v>
      </c>
      <c r="E7" s="28">
        <f>1000000*(D7/B7)</f>
        <v>0.9</v>
      </c>
      <c r="G7" s="29" t="s">
        <v>18</v>
      </c>
      <c r="H7" s="18">
        <v>0</v>
      </c>
      <c r="J7" s="92" t="s">
        <v>19</v>
      </c>
      <c r="K7" s="93"/>
      <c r="L7" s="30">
        <v>1</v>
      </c>
      <c r="M7" s="94" t="s">
        <v>20</v>
      </c>
      <c r="N7" s="95"/>
      <c r="O7" s="31">
        <v>100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75.436336978434852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264.60000000000002</v>
      </c>
      <c r="I10" s="5" t="s">
        <v>26</v>
      </c>
      <c r="J10" s="5">
        <f>H10*1.2</f>
        <v>317.52000000000004</v>
      </c>
      <c r="K10" s="5"/>
      <c r="L10" s="5" t="s">
        <v>12</v>
      </c>
      <c r="M10" s="43">
        <f>E5</f>
        <v>0.9</v>
      </c>
      <c r="N10" s="1">
        <f>1.4*M10*H6</f>
        <v>7.5600000000000005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96" t="s">
        <v>27</v>
      </c>
      <c r="H12" s="97"/>
      <c r="I12" s="5"/>
      <c r="J12" s="5"/>
      <c r="K12" s="5"/>
      <c r="L12" s="5" t="s">
        <v>17</v>
      </c>
      <c r="M12" s="43">
        <f>E7</f>
        <v>0.9</v>
      </c>
      <c r="N12" s="1">
        <f>1.4*M12*H6</f>
        <v>7.5600000000000005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98"/>
      <c r="H13" s="99"/>
      <c r="I13" s="5"/>
      <c r="J13" s="5"/>
      <c r="K13" s="5"/>
      <c r="L13" s="5" t="s">
        <v>21</v>
      </c>
      <c r="M13" s="43">
        <f>(H2/2)-SUM(M10:M12)-E4-E9</f>
        <v>42.300000000000004</v>
      </c>
      <c r="N13" s="1">
        <f>1.4*M13*H6</f>
        <v>355.32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2"/>
      <c r="G14" s="100"/>
      <c r="H14" s="101"/>
      <c r="I14" s="5"/>
      <c r="J14" s="5"/>
      <c r="K14" s="5"/>
      <c r="L14" s="5" t="s">
        <v>33</v>
      </c>
      <c r="M14" s="5">
        <f>SUM(M10:M13)</f>
        <v>44.1</v>
      </c>
      <c r="N14" s="5">
        <f>SUM(N10:N13)</f>
        <v>370.44</v>
      </c>
    </row>
    <row r="15" spans="1:15" x14ac:dyDescent="0.3">
      <c r="A15" s="50" t="s">
        <v>34</v>
      </c>
      <c r="B15" s="51">
        <v>2000</v>
      </c>
      <c r="C15" s="54">
        <v>20</v>
      </c>
      <c r="D15" s="102"/>
      <c r="E15" s="102"/>
      <c r="L15" s="5" t="s">
        <v>8</v>
      </c>
      <c r="M15" s="42">
        <f>E4</f>
        <v>0.9</v>
      </c>
      <c r="N15" s="55">
        <f>1.4*M15*H6</f>
        <v>7.5600000000000005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2"/>
      <c r="E16" s="102"/>
      <c r="H16" t="s">
        <v>36</v>
      </c>
      <c r="I16" t="s">
        <v>37</v>
      </c>
      <c r="L16" s="103" t="s">
        <v>38</v>
      </c>
      <c r="M16" s="104">
        <f>M14+M15</f>
        <v>45</v>
      </c>
      <c r="N16" s="107">
        <f>SUM(N14:N15)</f>
        <v>378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2.7</v>
      </c>
      <c r="I17" s="59">
        <f>H17*1.4</f>
        <v>3.78</v>
      </c>
      <c r="J17" t="s">
        <v>84</v>
      </c>
      <c r="L17" s="103"/>
      <c r="M17" s="105"/>
      <c r="N17" s="105"/>
    </row>
    <row r="18" spans="1:14" x14ac:dyDescent="0.3">
      <c r="A18" s="108" t="s">
        <v>40</v>
      </c>
      <c r="B18" s="108"/>
      <c r="C18" s="108"/>
      <c r="D18" s="108"/>
      <c r="E18" s="108"/>
      <c r="G18" t="s">
        <v>41</v>
      </c>
      <c r="H18" s="59">
        <f>E3</f>
        <v>9.1636630215651529</v>
      </c>
      <c r="I18" s="59">
        <f>H18*1.4</f>
        <v>12.829128230191213</v>
      </c>
      <c r="J18" t="s">
        <v>85</v>
      </c>
      <c r="L18" s="103"/>
      <c r="M18" s="106"/>
      <c r="N18" s="106"/>
    </row>
    <row r="19" spans="1:14" ht="15" customHeight="1" x14ac:dyDescent="0.3">
      <c r="A19" s="108"/>
      <c r="B19" s="108"/>
      <c r="C19" s="108"/>
      <c r="D19" s="108"/>
      <c r="E19" s="108"/>
      <c r="G19" t="s">
        <v>42</v>
      </c>
      <c r="H19" s="59">
        <f>(H2/2)-H17-H18</f>
        <v>33.136336978434841</v>
      </c>
      <c r="I19">
        <f>H19*1.4</f>
        <v>46.390871769808776</v>
      </c>
      <c r="J19" t="s">
        <v>86</v>
      </c>
    </row>
    <row r="20" spans="1:14" ht="15.75" customHeight="1" thickBot="1" x14ac:dyDescent="0.35">
      <c r="A20" s="108"/>
      <c r="B20" s="108"/>
      <c r="C20" s="108"/>
      <c r="D20" s="108"/>
      <c r="E20" s="108"/>
      <c r="G20" t="s">
        <v>33</v>
      </c>
      <c r="H20" s="60">
        <f>SUM(H17:H19)</f>
        <v>44.999999999999993</v>
      </c>
      <c r="I20" s="60">
        <f>SUM(I17:I19)</f>
        <v>62.999999999999986</v>
      </c>
    </row>
    <row r="21" spans="1:14" ht="15" customHeight="1" x14ac:dyDescent="0.3">
      <c r="A21" s="108"/>
      <c r="B21" s="108"/>
      <c r="C21" s="108"/>
      <c r="D21" s="108"/>
      <c r="E21" s="108"/>
      <c r="G21" s="61" t="s">
        <v>43</v>
      </c>
      <c r="H21" s="62"/>
      <c r="J21" s="109" t="s">
        <v>44</v>
      </c>
      <c r="K21" s="112">
        <v>9.8214000000000006</v>
      </c>
      <c r="L21" s="63"/>
      <c r="M21" s="63" t="s">
        <v>45</v>
      </c>
    </row>
    <row r="22" spans="1:14" ht="15" customHeight="1" x14ac:dyDescent="0.3">
      <c r="A22" s="108"/>
      <c r="B22" s="108"/>
      <c r="C22" s="108"/>
      <c r="D22" s="108"/>
      <c r="E22" s="108"/>
      <c r="G22" s="62" t="s">
        <v>15</v>
      </c>
      <c r="H22" s="64">
        <f>1.4*H17*($H$5*$H$4)</f>
        <v>11.34</v>
      </c>
      <c r="I22" s="59"/>
      <c r="J22" s="110"/>
      <c r="K22" s="113"/>
      <c r="L22" s="63"/>
      <c r="M22" s="62" t="s">
        <v>15</v>
      </c>
      <c r="N22" s="64">
        <f>H22</f>
        <v>11.34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1.4*H18*($H$5*$H$4)</f>
        <v>38.487384690573634</v>
      </c>
      <c r="I23" s="59"/>
      <c r="J23" s="111"/>
      <c r="K23" s="114"/>
      <c r="L23" s="63"/>
      <c r="M23" s="62" t="s">
        <v>21</v>
      </c>
      <c r="N23" s="64">
        <f>H24+H23</f>
        <v>177.65999999999997</v>
      </c>
    </row>
    <row r="24" spans="1:14" x14ac:dyDescent="0.3">
      <c r="A24" s="126" t="s">
        <v>46</v>
      </c>
      <c r="B24" s="126"/>
      <c r="C24" s="65">
        <f>(C4*H1)*1000000</f>
        <v>9.0000000000000011E-3</v>
      </c>
      <c r="D24" s="127" t="s">
        <v>47</v>
      </c>
      <c r="E24" s="53"/>
      <c r="G24" s="62" t="s">
        <v>21</v>
      </c>
      <c r="H24" s="64">
        <f>1.4*H19*($H$5*$H$4)</f>
        <v>139.17261530942633</v>
      </c>
      <c r="J24" s="63"/>
      <c r="K24" s="63"/>
      <c r="L24" s="63"/>
    </row>
    <row r="25" spans="1:14" x14ac:dyDescent="0.3">
      <c r="A25" s="128" t="s">
        <v>48</v>
      </c>
      <c r="B25" s="128"/>
      <c r="C25" s="66">
        <v>29120.07</v>
      </c>
      <c r="D25" s="127"/>
      <c r="E25" s="67"/>
      <c r="F25" s="68" t="s">
        <v>49</v>
      </c>
      <c r="G25" s="69" t="s">
        <v>33</v>
      </c>
      <c r="H25" s="70">
        <f>SUM(H22:H24)</f>
        <v>188.99999999999997</v>
      </c>
      <c r="J25" s="63" t="s">
        <v>50</v>
      </c>
      <c r="K25" s="63"/>
      <c r="L25" s="63"/>
      <c r="M25" s="63"/>
    </row>
    <row r="26" spans="1:14" x14ac:dyDescent="0.3">
      <c r="A26" s="128" t="s">
        <v>51</v>
      </c>
      <c r="B26" s="128"/>
      <c r="C26" s="7">
        <f>C3*H1</f>
        <v>8.9999999999999999E-11</v>
      </c>
      <c r="D26" s="127"/>
      <c r="E26" s="67" t="s">
        <v>52</v>
      </c>
      <c r="F26" s="68">
        <v>29346</v>
      </c>
      <c r="I26" t="s">
        <v>87</v>
      </c>
    </row>
    <row r="27" spans="1:14" x14ac:dyDescent="0.3">
      <c r="A27" s="128" t="s">
        <v>53</v>
      </c>
      <c r="B27" s="128"/>
      <c r="C27" s="71">
        <v>2.6208062999999999E-3</v>
      </c>
      <c r="D27" s="127"/>
      <c r="E27" s="67" t="s">
        <v>54</v>
      </c>
      <c r="F27" s="68">
        <v>29386</v>
      </c>
    </row>
    <row r="29" spans="1:14" x14ac:dyDescent="0.3">
      <c r="A29" s="129" t="s">
        <v>83</v>
      </c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115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116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117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118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119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120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121" t="s">
        <v>68</v>
      </c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123" t="s">
        <v>82</v>
      </c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5"/>
    </row>
  </sheetData>
  <mergeCells count="23"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  <mergeCell ref="D15:D16"/>
    <mergeCell ref="L16:L18"/>
    <mergeCell ref="M16:M18"/>
    <mergeCell ref="N16:N18"/>
    <mergeCell ref="A18:E22"/>
    <mergeCell ref="J21:J23"/>
    <mergeCell ref="K21:K23"/>
    <mergeCell ref="E14:E16"/>
    <mergeCell ref="J1:K2"/>
    <mergeCell ref="L4:M5"/>
    <mergeCell ref="J7:K7"/>
    <mergeCell ref="M7:N7"/>
    <mergeCell ref="G12:H14"/>
  </mergeCells>
  <pageMargins left="0.7" right="0.7" top="0.75" bottom="0.75" header="0.3" footer="0.3"/>
  <pageSetup paperSize="9" scale="5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C0C19-68B7-4F3E-BC21-B4B648BCA774}">
  <sheetPr>
    <pageSetUpPr fitToPage="1"/>
  </sheetPr>
  <dimension ref="A1:O51"/>
  <sheetViews>
    <sheetView zoomScale="91" zoomScaleNormal="52" workbookViewId="0">
      <selection activeCell="K24" sqref="K24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9.0000000000000006E-5</v>
      </c>
      <c r="J1" s="89"/>
      <c r="K1" s="90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90</v>
      </c>
      <c r="J2" s="90"/>
      <c r="K2" s="90"/>
    </row>
    <row r="3" spans="1:15" ht="15" thickBot="1" x14ac:dyDescent="0.35">
      <c r="A3" s="9" t="s">
        <v>7</v>
      </c>
      <c r="B3" s="10">
        <f>K21/1000000</f>
        <v>9.306300000000001E-6</v>
      </c>
      <c r="C3" s="11">
        <f>L7/1000000</f>
        <v>9.9999999999999995E-7</v>
      </c>
      <c r="D3" s="12">
        <f>C3*H1</f>
        <v>8.9999999999999999E-11</v>
      </c>
      <c r="E3" s="13">
        <f>1000000*(D3/B3)</f>
        <v>9.6708681215950474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1E-4</v>
      </c>
      <c r="D4" s="16">
        <f>C4*H1</f>
        <v>9.0000000000000012E-9</v>
      </c>
      <c r="E4" s="17">
        <f>1000000*(D4/B4)</f>
        <v>0.9</v>
      </c>
      <c r="G4" s="8" t="s">
        <v>9</v>
      </c>
      <c r="H4" s="18">
        <v>3</v>
      </c>
      <c r="J4" s="19" t="s">
        <v>10</v>
      </c>
      <c r="K4" s="19">
        <v>1</v>
      </c>
      <c r="L4" s="91" t="s">
        <v>11</v>
      </c>
      <c r="M4" s="91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4.5000000000000003E-7</v>
      </c>
      <c r="E5" s="23">
        <f>1000000*(D5/B5)</f>
        <v>0.9</v>
      </c>
      <c r="G5" s="8" t="s">
        <v>13</v>
      </c>
      <c r="H5" s="24">
        <v>1</v>
      </c>
      <c r="J5" s="8" t="s">
        <v>14</v>
      </c>
      <c r="K5" s="18">
        <v>1</v>
      </c>
      <c r="L5" s="91"/>
      <c r="M5" s="91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5.4000000000000004E-9</v>
      </c>
      <c r="E6" s="23">
        <f>1000000*(D6/B6)</f>
        <v>2.7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9.0000000000000012E-8</v>
      </c>
      <c r="E7" s="28">
        <f>1000000*(D7/B7)</f>
        <v>0.9</v>
      </c>
      <c r="G7" s="29" t="s">
        <v>18</v>
      </c>
      <c r="H7" s="18">
        <v>0</v>
      </c>
      <c r="J7" s="92" t="s">
        <v>19</v>
      </c>
      <c r="K7" s="93"/>
      <c r="L7" s="30">
        <v>1</v>
      </c>
      <c r="M7" s="94" t="s">
        <v>20</v>
      </c>
      <c r="N7" s="95"/>
      <c r="O7" s="31">
        <v>100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74.929131878404945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264.60000000000002</v>
      </c>
      <c r="I10" s="5" t="s">
        <v>26</v>
      </c>
      <c r="J10" s="5">
        <f>H10*1.2</f>
        <v>317.52000000000004</v>
      </c>
      <c r="K10" s="5"/>
      <c r="L10" s="5" t="s">
        <v>12</v>
      </c>
      <c r="M10" s="43">
        <f>E5</f>
        <v>0.9</v>
      </c>
      <c r="N10" s="1">
        <f>1.4*M10*H6</f>
        <v>7.5600000000000005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96" t="s">
        <v>27</v>
      </c>
      <c r="H12" s="97"/>
      <c r="I12" s="5"/>
      <c r="J12" s="5"/>
      <c r="K12" s="5"/>
      <c r="L12" s="5" t="s">
        <v>17</v>
      </c>
      <c r="M12" s="43">
        <f>E7</f>
        <v>0.9</v>
      </c>
      <c r="N12" s="1">
        <f>1.4*M12*H6</f>
        <v>7.5600000000000005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98"/>
      <c r="H13" s="99"/>
      <c r="I13" s="5"/>
      <c r="J13" s="5"/>
      <c r="K13" s="5"/>
      <c r="L13" s="5" t="s">
        <v>21</v>
      </c>
      <c r="M13" s="43">
        <f>(H2/2)-SUM(M10:M12)-E4-E9</f>
        <v>42.300000000000004</v>
      </c>
      <c r="N13" s="1">
        <f>1.4*M13*H6</f>
        <v>355.32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2"/>
      <c r="G14" s="100"/>
      <c r="H14" s="101"/>
      <c r="I14" s="5"/>
      <c r="J14" s="5"/>
      <c r="K14" s="5"/>
      <c r="L14" s="5" t="s">
        <v>33</v>
      </c>
      <c r="M14" s="5">
        <f>SUM(M10:M13)</f>
        <v>44.1</v>
      </c>
      <c r="N14" s="5">
        <f>SUM(N10:N13)</f>
        <v>370.44</v>
      </c>
    </row>
    <row r="15" spans="1:15" x14ac:dyDescent="0.3">
      <c r="A15" s="50" t="s">
        <v>34</v>
      </c>
      <c r="B15" s="51">
        <v>2000</v>
      </c>
      <c r="C15" s="54">
        <v>20</v>
      </c>
      <c r="D15" s="102"/>
      <c r="E15" s="102"/>
      <c r="L15" s="5" t="s">
        <v>8</v>
      </c>
      <c r="M15" s="42">
        <f>E4</f>
        <v>0.9</v>
      </c>
      <c r="N15" s="55">
        <f>1.4*M15*H6</f>
        <v>7.5600000000000005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2"/>
      <c r="E16" s="102"/>
      <c r="H16" t="s">
        <v>36</v>
      </c>
      <c r="I16" t="s">
        <v>37</v>
      </c>
      <c r="L16" s="103" t="s">
        <v>38</v>
      </c>
      <c r="M16" s="104">
        <f>M14+M15</f>
        <v>45</v>
      </c>
      <c r="N16" s="107">
        <f>SUM(N14:N15)</f>
        <v>378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2.7</v>
      </c>
      <c r="I17" s="59">
        <f>H17*1.4</f>
        <v>3.78</v>
      </c>
      <c r="J17" t="s">
        <v>84</v>
      </c>
      <c r="L17" s="103"/>
      <c r="M17" s="105"/>
      <c r="N17" s="105"/>
    </row>
    <row r="18" spans="1:14" x14ac:dyDescent="0.3">
      <c r="A18" s="108" t="s">
        <v>40</v>
      </c>
      <c r="B18" s="108"/>
      <c r="C18" s="108"/>
      <c r="D18" s="108"/>
      <c r="E18" s="108"/>
      <c r="G18" t="s">
        <v>41</v>
      </c>
      <c r="H18" s="59">
        <f>E3</f>
        <v>9.6708681215950474</v>
      </c>
      <c r="I18" s="59">
        <f>H18*1.4</f>
        <v>13.539215370233066</v>
      </c>
      <c r="J18" t="s">
        <v>85</v>
      </c>
      <c r="L18" s="103"/>
      <c r="M18" s="106"/>
      <c r="N18" s="106"/>
    </row>
    <row r="19" spans="1:14" ht="15" customHeight="1" x14ac:dyDescent="0.3">
      <c r="A19" s="108"/>
      <c r="B19" s="108"/>
      <c r="C19" s="108"/>
      <c r="D19" s="108"/>
      <c r="E19" s="108"/>
      <c r="G19" t="s">
        <v>42</v>
      </c>
      <c r="H19" s="59">
        <f>(H2/2)-H17-H18</f>
        <v>32.629131878404948</v>
      </c>
      <c r="I19">
        <f>H19*1.4</f>
        <v>45.680784629766926</v>
      </c>
      <c r="J19" t="s">
        <v>86</v>
      </c>
    </row>
    <row r="20" spans="1:14" ht="15.75" customHeight="1" thickBot="1" x14ac:dyDescent="0.35">
      <c r="A20" s="108"/>
      <c r="B20" s="108"/>
      <c r="C20" s="108"/>
      <c r="D20" s="108"/>
      <c r="E20" s="108"/>
      <c r="G20" t="s">
        <v>33</v>
      </c>
      <c r="H20" s="60">
        <f>SUM(H17:H19)</f>
        <v>45</v>
      </c>
      <c r="I20" s="60">
        <f>SUM(I17:I19)</f>
        <v>62.999999999999993</v>
      </c>
    </row>
    <row r="21" spans="1:14" ht="15" customHeight="1" x14ac:dyDescent="0.3">
      <c r="A21" s="108"/>
      <c r="B21" s="108"/>
      <c r="C21" s="108"/>
      <c r="D21" s="108"/>
      <c r="E21" s="108"/>
      <c r="G21" s="61" t="s">
        <v>43</v>
      </c>
      <c r="H21" s="62"/>
      <c r="J21" s="109" t="s">
        <v>44</v>
      </c>
      <c r="K21" s="112">
        <v>9.3063000000000002</v>
      </c>
      <c r="L21" s="63"/>
      <c r="M21" s="63" t="s">
        <v>45</v>
      </c>
    </row>
    <row r="22" spans="1:14" ht="15" customHeight="1" x14ac:dyDescent="0.3">
      <c r="A22" s="108"/>
      <c r="B22" s="108"/>
      <c r="C22" s="108"/>
      <c r="D22" s="108"/>
      <c r="E22" s="108"/>
      <c r="G22" s="62" t="s">
        <v>15</v>
      </c>
      <c r="H22" s="64">
        <f>1.4*H17*($H$5*$H$4)</f>
        <v>11.34</v>
      </c>
      <c r="I22" s="59"/>
      <c r="J22" s="110"/>
      <c r="K22" s="113"/>
      <c r="L22" s="63"/>
      <c r="M22" s="62" t="s">
        <v>15</v>
      </c>
      <c r="N22" s="64">
        <f>H22</f>
        <v>11.34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1.4*H18*($H$5*$H$4)</f>
        <v>40.617646110699198</v>
      </c>
      <c r="I23" s="59"/>
      <c r="J23" s="111"/>
      <c r="K23" s="114"/>
      <c r="L23" s="63"/>
      <c r="M23" s="62" t="s">
        <v>21</v>
      </c>
      <c r="N23" s="64">
        <f>H24+H23</f>
        <v>177.65999999999997</v>
      </c>
    </row>
    <row r="24" spans="1:14" x14ac:dyDescent="0.3">
      <c r="A24" s="126" t="s">
        <v>46</v>
      </c>
      <c r="B24" s="126"/>
      <c r="C24" s="65">
        <f>(C4*H1)*1000000</f>
        <v>9.0000000000000011E-3</v>
      </c>
      <c r="D24" s="127" t="s">
        <v>47</v>
      </c>
      <c r="E24" s="53"/>
      <c r="G24" s="62" t="s">
        <v>21</v>
      </c>
      <c r="H24" s="64">
        <f>1.4*H19*($H$5*$H$4)</f>
        <v>137.04235388930078</v>
      </c>
      <c r="J24" s="63"/>
      <c r="K24" s="63"/>
      <c r="L24" s="63"/>
    </row>
    <row r="25" spans="1:14" x14ac:dyDescent="0.3">
      <c r="A25" s="128" t="s">
        <v>48</v>
      </c>
      <c r="B25" s="128"/>
      <c r="C25" s="66">
        <v>29120.07</v>
      </c>
      <c r="D25" s="127"/>
      <c r="E25" s="67"/>
      <c r="F25" s="68" t="s">
        <v>49</v>
      </c>
      <c r="G25" s="69" t="s">
        <v>33</v>
      </c>
      <c r="H25" s="70">
        <f>SUM(H22:H24)</f>
        <v>189</v>
      </c>
      <c r="J25" s="63" t="s">
        <v>50</v>
      </c>
      <c r="K25" s="63"/>
      <c r="L25" s="63"/>
      <c r="M25" s="63"/>
    </row>
    <row r="26" spans="1:14" x14ac:dyDescent="0.3">
      <c r="A26" s="128" t="s">
        <v>51</v>
      </c>
      <c r="B26" s="128"/>
      <c r="C26" s="7">
        <f>C3*H1</f>
        <v>8.9999999999999999E-11</v>
      </c>
      <c r="D26" s="127"/>
      <c r="E26" s="67" t="s">
        <v>52</v>
      </c>
      <c r="F26" s="68">
        <v>29346</v>
      </c>
      <c r="I26" t="s">
        <v>87</v>
      </c>
    </row>
    <row r="27" spans="1:14" x14ac:dyDescent="0.3">
      <c r="A27" s="128" t="s">
        <v>53</v>
      </c>
      <c r="B27" s="128"/>
      <c r="C27" s="71">
        <v>2.6208062999999999E-3</v>
      </c>
      <c r="D27" s="127"/>
      <c r="E27" s="67" t="s">
        <v>54</v>
      </c>
      <c r="F27" s="68">
        <v>29386</v>
      </c>
    </row>
    <row r="29" spans="1:14" x14ac:dyDescent="0.3">
      <c r="A29" s="129" t="s">
        <v>83</v>
      </c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115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116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117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118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119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120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121" t="s">
        <v>68</v>
      </c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123" t="s">
        <v>82</v>
      </c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5"/>
    </row>
  </sheetData>
  <mergeCells count="23"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  <mergeCell ref="D15:D16"/>
    <mergeCell ref="L16:L18"/>
    <mergeCell ref="M16:M18"/>
    <mergeCell ref="N16:N18"/>
    <mergeCell ref="A18:E22"/>
    <mergeCell ref="J21:J23"/>
    <mergeCell ref="K21:K23"/>
    <mergeCell ref="E14:E16"/>
    <mergeCell ref="J1:K2"/>
    <mergeCell ref="L4:M5"/>
    <mergeCell ref="J7:K7"/>
    <mergeCell ref="M7:N7"/>
    <mergeCell ref="G12:H14"/>
  </mergeCells>
  <pageMargins left="0.7" right="0.7" top="0.75" bottom="0.75" header="0.3" footer="0.3"/>
  <pageSetup paperSize="9" scale="5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0DF15-60AA-4295-B2AF-1F2F71FD85B1}">
  <sheetPr>
    <pageSetUpPr fitToPage="1"/>
  </sheetPr>
  <dimension ref="A1:O51"/>
  <sheetViews>
    <sheetView topLeftCell="D1" zoomScale="91" zoomScaleNormal="52" workbookViewId="0">
      <selection activeCell="K24" sqref="K24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9.0000000000000006E-5</v>
      </c>
      <c r="J1" s="89"/>
      <c r="K1" s="90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90</v>
      </c>
      <c r="I2" t="s">
        <v>88</v>
      </c>
      <c r="J2" s="90"/>
      <c r="K2" s="90"/>
    </row>
    <row r="3" spans="1:15" ht="15" thickBot="1" x14ac:dyDescent="0.35">
      <c r="A3" s="9" t="s">
        <v>7</v>
      </c>
      <c r="B3" s="10">
        <f>K21/1000000</f>
        <v>1.08031E-5</v>
      </c>
      <c r="C3" s="11">
        <f>L7/1000000</f>
        <v>9.9999999999999995E-7</v>
      </c>
      <c r="D3" s="12">
        <f>C3*H1</f>
        <v>8.9999999999999999E-11</v>
      </c>
      <c r="E3" s="13">
        <f>1000000*(D3/B3)</f>
        <v>8.3309420444131774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1E-4</v>
      </c>
      <c r="D4" s="16">
        <f>C4*H1</f>
        <v>9.0000000000000012E-9</v>
      </c>
      <c r="E4" s="17">
        <f>1000000*(D4/B4)</f>
        <v>0.9</v>
      </c>
      <c r="G4" s="8" t="s">
        <v>9</v>
      </c>
      <c r="H4" s="18">
        <v>3</v>
      </c>
      <c r="J4" s="19" t="s">
        <v>10</v>
      </c>
      <c r="K4" s="19">
        <v>1</v>
      </c>
      <c r="L4" s="91" t="s">
        <v>11</v>
      </c>
      <c r="M4" s="91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4.5000000000000003E-7</v>
      </c>
      <c r="E5" s="23">
        <f>1000000*(D5/B5)</f>
        <v>0.9</v>
      </c>
      <c r="G5" s="8" t="s">
        <v>13</v>
      </c>
      <c r="H5" s="24">
        <v>1</v>
      </c>
      <c r="J5" s="8" t="s">
        <v>14</v>
      </c>
      <c r="K5" s="18">
        <v>1</v>
      </c>
      <c r="L5" s="91"/>
      <c r="M5" s="91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5.4000000000000004E-9</v>
      </c>
      <c r="E6" s="23">
        <f>1000000*(D6/B6)</f>
        <v>2.7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9.0000000000000012E-8</v>
      </c>
      <c r="E7" s="28">
        <f>1000000*(D7/B7)</f>
        <v>0.9</v>
      </c>
      <c r="G7" s="29" t="s">
        <v>18</v>
      </c>
      <c r="H7" s="18">
        <v>0</v>
      </c>
      <c r="J7" s="92" t="s">
        <v>19</v>
      </c>
      <c r="K7" s="93"/>
      <c r="L7" s="30">
        <v>1</v>
      </c>
      <c r="M7" s="94" t="s">
        <v>20</v>
      </c>
      <c r="N7" s="95"/>
      <c r="O7" s="31">
        <v>100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76.269057955586817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264.60000000000002</v>
      </c>
      <c r="I10" s="5" t="s">
        <v>26</v>
      </c>
      <c r="J10" s="5">
        <f>H10*1.2</f>
        <v>317.52000000000004</v>
      </c>
      <c r="K10" s="5"/>
      <c r="L10" s="5" t="s">
        <v>12</v>
      </c>
      <c r="M10" s="43">
        <f>E5</f>
        <v>0.9</v>
      </c>
      <c r="N10" s="1">
        <f>1.4*M10*H6</f>
        <v>7.5600000000000005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96" t="s">
        <v>27</v>
      </c>
      <c r="H12" s="97"/>
      <c r="I12" s="5"/>
      <c r="J12" s="5"/>
      <c r="K12" s="5"/>
      <c r="L12" s="5" t="s">
        <v>17</v>
      </c>
      <c r="M12" s="43">
        <f>E7</f>
        <v>0.9</v>
      </c>
      <c r="N12" s="1">
        <f>1.4*M12*H6</f>
        <v>7.5600000000000005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98"/>
      <c r="H13" s="99"/>
      <c r="I13" s="5"/>
      <c r="J13" s="5"/>
      <c r="K13" s="5"/>
      <c r="L13" s="5" t="s">
        <v>21</v>
      </c>
      <c r="M13" s="43">
        <f>(H2/2)-SUM(M10:M12)-E4-E9</f>
        <v>42.300000000000004</v>
      </c>
      <c r="N13" s="1">
        <f>1.4*M13*H6</f>
        <v>355.32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2"/>
      <c r="G14" s="100"/>
      <c r="H14" s="101"/>
      <c r="I14" s="5"/>
      <c r="J14" s="5"/>
      <c r="K14" s="5"/>
      <c r="L14" s="5" t="s">
        <v>33</v>
      </c>
      <c r="M14" s="5">
        <f>SUM(M10:M13)</f>
        <v>44.1</v>
      </c>
      <c r="N14" s="5">
        <f>SUM(N10:N13)</f>
        <v>370.44</v>
      </c>
    </row>
    <row r="15" spans="1:15" x14ac:dyDescent="0.3">
      <c r="A15" s="50" t="s">
        <v>34</v>
      </c>
      <c r="B15" s="51">
        <v>2000</v>
      </c>
      <c r="C15" s="54">
        <v>20</v>
      </c>
      <c r="D15" s="102"/>
      <c r="E15" s="102"/>
      <c r="L15" s="5" t="s">
        <v>8</v>
      </c>
      <c r="M15" s="42">
        <f>E4</f>
        <v>0.9</v>
      </c>
      <c r="N15" s="55">
        <f>1.4*M15*H6</f>
        <v>7.5600000000000005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2"/>
      <c r="E16" s="102"/>
      <c r="H16" t="s">
        <v>36</v>
      </c>
      <c r="I16" t="s">
        <v>37</v>
      </c>
      <c r="L16" s="103" t="s">
        <v>38</v>
      </c>
      <c r="M16" s="104">
        <f>M14+M15</f>
        <v>45</v>
      </c>
      <c r="N16" s="107">
        <f>SUM(N14:N15)</f>
        <v>378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2.7</v>
      </c>
      <c r="I17" s="59">
        <f>H17*1.4</f>
        <v>3.78</v>
      </c>
      <c r="J17" t="s">
        <v>84</v>
      </c>
      <c r="L17" s="103"/>
      <c r="M17" s="105"/>
      <c r="N17" s="105"/>
    </row>
    <row r="18" spans="1:14" x14ac:dyDescent="0.3">
      <c r="A18" s="108" t="s">
        <v>40</v>
      </c>
      <c r="B18" s="108"/>
      <c r="C18" s="108"/>
      <c r="D18" s="108"/>
      <c r="E18" s="108"/>
      <c r="G18" t="s">
        <v>41</v>
      </c>
      <c r="H18" s="59">
        <f>E3</f>
        <v>8.3309420444131774</v>
      </c>
      <c r="I18" s="59">
        <f>H18*1.4</f>
        <v>11.663318862178448</v>
      </c>
      <c r="J18" t="s">
        <v>85</v>
      </c>
      <c r="L18" s="103"/>
      <c r="M18" s="106"/>
      <c r="N18" s="106"/>
    </row>
    <row r="19" spans="1:14" ht="15" customHeight="1" x14ac:dyDescent="0.3">
      <c r="A19" s="108"/>
      <c r="B19" s="108"/>
      <c r="C19" s="108"/>
      <c r="D19" s="108"/>
      <c r="E19" s="108"/>
      <c r="G19" t="s">
        <v>42</v>
      </c>
      <c r="H19" s="59">
        <f>(H2/2)-H17-H18</f>
        <v>33.96905795558682</v>
      </c>
      <c r="I19">
        <f>H19*1.4</f>
        <v>47.556681137821542</v>
      </c>
      <c r="J19" t="s">
        <v>86</v>
      </c>
    </row>
    <row r="20" spans="1:14" ht="15.75" customHeight="1" thickBot="1" x14ac:dyDescent="0.35">
      <c r="A20" s="108"/>
      <c r="B20" s="108"/>
      <c r="C20" s="108"/>
      <c r="D20" s="108"/>
      <c r="E20" s="108"/>
      <c r="G20" t="s">
        <v>33</v>
      </c>
      <c r="H20" s="60">
        <f>SUM(H17:H19)</f>
        <v>45</v>
      </c>
      <c r="I20" s="60">
        <f>SUM(I17:I19)</f>
        <v>62.999999999999986</v>
      </c>
    </row>
    <row r="21" spans="1:14" ht="15" customHeight="1" x14ac:dyDescent="0.3">
      <c r="A21" s="108"/>
      <c r="B21" s="108"/>
      <c r="C21" s="108"/>
      <c r="D21" s="108"/>
      <c r="E21" s="108"/>
      <c r="G21" s="61" t="s">
        <v>43</v>
      </c>
      <c r="H21" s="62"/>
      <c r="J21" s="109" t="s">
        <v>44</v>
      </c>
      <c r="K21" s="112">
        <v>10.803100000000001</v>
      </c>
      <c r="L21" s="63"/>
      <c r="M21" s="63" t="s">
        <v>45</v>
      </c>
    </row>
    <row r="22" spans="1:14" ht="15" customHeight="1" x14ac:dyDescent="0.3">
      <c r="A22" s="108"/>
      <c r="B22" s="108"/>
      <c r="C22" s="108"/>
      <c r="D22" s="108"/>
      <c r="E22" s="108"/>
      <c r="G22" s="62" t="s">
        <v>15</v>
      </c>
      <c r="H22" s="64">
        <f>1.4*H17*($H$5*$H$4)</f>
        <v>11.34</v>
      </c>
      <c r="I22" s="59"/>
      <c r="J22" s="110"/>
      <c r="K22" s="113"/>
      <c r="L22" s="63"/>
      <c r="M22" s="62" t="s">
        <v>15</v>
      </c>
      <c r="N22" s="64">
        <f>H22</f>
        <v>11.34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1.4*H18*($H$5*$H$4)</f>
        <v>34.989956586535342</v>
      </c>
      <c r="I23" s="59"/>
      <c r="J23" s="111"/>
      <c r="K23" s="114"/>
      <c r="L23" s="63"/>
      <c r="M23" s="62" t="s">
        <v>21</v>
      </c>
      <c r="N23" s="64">
        <f>H24+H23</f>
        <v>177.65999999999997</v>
      </c>
    </row>
    <row r="24" spans="1:14" x14ac:dyDescent="0.3">
      <c r="A24" s="126" t="s">
        <v>46</v>
      </c>
      <c r="B24" s="126"/>
      <c r="C24" s="65">
        <f>(C4*H1)*1000000</f>
        <v>9.0000000000000011E-3</v>
      </c>
      <c r="D24" s="127" t="s">
        <v>47</v>
      </c>
      <c r="E24" s="53"/>
      <c r="G24" s="62" t="s">
        <v>21</v>
      </c>
      <c r="H24" s="64">
        <f>1.4*H19*($H$5*$H$4)</f>
        <v>142.67004341346461</v>
      </c>
      <c r="J24" s="63"/>
      <c r="K24" s="63"/>
      <c r="L24" s="63"/>
    </row>
    <row r="25" spans="1:14" x14ac:dyDescent="0.3">
      <c r="A25" s="128" t="s">
        <v>48</v>
      </c>
      <c r="B25" s="128"/>
      <c r="C25" s="66">
        <v>28232.74</v>
      </c>
      <c r="D25" s="127"/>
      <c r="E25" s="67"/>
      <c r="F25" s="68" t="s">
        <v>49</v>
      </c>
      <c r="G25" s="69" t="s">
        <v>33</v>
      </c>
      <c r="H25" s="70">
        <f>SUM(H22:H24)</f>
        <v>188.99999999999994</v>
      </c>
      <c r="J25" s="63" t="s">
        <v>50</v>
      </c>
      <c r="K25" s="63"/>
      <c r="L25" s="63"/>
      <c r="M25" s="63"/>
    </row>
    <row r="26" spans="1:14" x14ac:dyDescent="0.3">
      <c r="A26" s="128" t="s">
        <v>51</v>
      </c>
      <c r="B26" s="128"/>
      <c r="C26" s="7">
        <f>C3*H1</f>
        <v>8.9999999999999999E-11</v>
      </c>
      <c r="D26" s="127"/>
      <c r="E26" s="67" t="s">
        <v>52</v>
      </c>
      <c r="F26" s="68">
        <v>29346</v>
      </c>
      <c r="I26" t="s">
        <v>87</v>
      </c>
    </row>
    <row r="27" spans="1:14" x14ac:dyDescent="0.3">
      <c r="A27" s="128" t="s">
        <v>53</v>
      </c>
      <c r="B27" s="128"/>
      <c r="C27" s="71">
        <f>C26*C25*1000</f>
        <v>2.5409466000000003E-3</v>
      </c>
      <c r="D27" s="127"/>
      <c r="E27" s="67" t="s">
        <v>54</v>
      </c>
      <c r="F27" s="68">
        <v>29386</v>
      </c>
    </row>
    <row r="29" spans="1:14" x14ac:dyDescent="0.3">
      <c r="A29" s="129" t="s">
        <v>83</v>
      </c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115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116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117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118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119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120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121" t="s">
        <v>68</v>
      </c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123" t="s">
        <v>82</v>
      </c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5"/>
    </row>
  </sheetData>
  <mergeCells count="23">
    <mergeCell ref="J1:K2"/>
    <mergeCell ref="L4:M5"/>
    <mergeCell ref="J7:K7"/>
    <mergeCell ref="M7:N7"/>
    <mergeCell ref="G12:H14"/>
    <mergeCell ref="D15:D16"/>
    <mergeCell ref="L16:L18"/>
    <mergeCell ref="M16:M18"/>
    <mergeCell ref="N16:N18"/>
    <mergeCell ref="A18:E22"/>
    <mergeCell ref="J21:J23"/>
    <mergeCell ref="K21:K23"/>
    <mergeCell ref="E14:E16"/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</mergeCells>
  <pageMargins left="0.7" right="0.7" top="0.75" bottom="0.75" header="0.3" footer="0.3"/>
  <pageSetup paperSize="9" scale="5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ED234-2D04-4159-AAD7-CA8A2FEFDD09}">
  <sheetPr>
    <pageSetUpPr fitToPage="1"/>
  </sheetPr>
  <dimension ref="A1:O51"/>
  <sheetViews>
    <sheetView tabSelected="1" topLeftCell="A3" zoomScale="91" zoomScaleNormal="52" workbookViewId="0">
      <selection activeCell="D28" sqref="D28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9.0000000000000006E-5</v>
      </c>
      <c r="J1" s="89"/>
      <c r="K1" s="90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90</v>
      </c>
      <c r="J2" s="90"/>
      <c r="K2" s="90"/>
    </row>
    <row r="3" spans="1:15" ht="15" thickBot="1" x14ac:dyDescent="0.35">
      <c r="A3" s="9" t="s">
        <v>7</v>
      </c>
      <c r="B3" s="10">
        <f>K21/1000000</f>
        <v>8.3240000000000003E-6</v>
      </c>
      <c r="C3" s="11">
        <f>L7/1000000</f>
        <v>9.9999999999999995E-7</v>
      </c>
      <c r="D3" s="12">
        <f>C3*H1</f>
        <v>8.9999999999999999E-11</v>
      </c>
      <c r="E3" s="13">
        <f>1000000*(D3/B3)</f>
        <v>10.812109562710235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1E-4</v>
      </c>
      <c r="D4" s="16">
        <f>C4*H1</f>
        <v>9.0000000000000012E-9</v>
      </c>
      <c r="E4" s="17">
        <f>1000000*(D4/B4)</f>
        <v>0.9</v>
      </c>
      <c r="G4" s="8" t="s">
        <v>9</v>
      </c>
      <c r="H4" s="18">
        <v>3</v>
      </c>
      <c r="J4" s="19" t="s">
        <v>10</v>
      </c>
      <c r="K4" s="19">
        <v>1</v>
      </c>
      <c r="L4" s="91" t="s">
        <v>11</v>
      </c>
      <c r="M4" s="91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4.5000000000000003E-7</v>
      </c>
      <c r="E5" s="23">
        <f>1000000*(D5/B5)</f>
        <v>0.9</v>
      </c>
      <c r="G5" s="8" t="s">
        <v>13</v>
      </c>
      <c r="H5" s="24">
        <v>1</v>
      </c>
      <c r="J5" s="8" t="s">
        <v>14</v>
      </c>
      <c r="K5" s="18">
        <v>1</v>
      </c>
      <c r="L5" s="91"/>
      <c r="M5" s="91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5.4000000000000004E-9</v>
      </c>
      <c r="E6" s="23">
        <f>1000000*(D6/B6)</f>
        <v>2.7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9.0000000000000012E-8</v>
      </c>
      <c r="E7" s="28">
        <f>1000000*(D7/B7)</f>
        <v>0.9</v>
      </c>
      <c r="G7" s="29" t="s">
        <v>18</v>
      </c>
      <c r="H7" s="18">
        <v>0</v>
      </c>
      <c r="J7" s="92" t="s">
        <v>19</v>
      </c>
      <c r="K7" s="93"/>
      <c r="L7" s="30">
        <v>1</v>
      </c>
      <c r="M7" s="94" t="s">
        <v>20</v>
      </c>
      <c r="N7" s="95"/>
      <c r="O7" s="31">
        <v>100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73.787890437289761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264.60000000000002</v>
      </c>
      <c r="I10" s="5" t="s">
        <v>26</v>
      </c>
      <c r="J10" s="5">
        <f>H10*1.2</f>
        <v>317.52000000000004</v>
      </c>
      <c r="K10" s="5"/>
      <c r="L10" s="5" t="s">
        <v>12</v>
      </c>
      <c r="M10" s="43">
        <f>E5</f>
        <v>0.9</v>
      </c>
      <c r="N10" s="1">
        <f>1.4*M10*H6</f>
        <v>7.5600000000000005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96" t="s">
        <v>27</v>
      </c>
      <c r="H12" s="97"/>
      <c r="I12" s="5"/>
      <c r="J12" s="5"/>
      <c r="K12" s="5"/>
      <c r="L12" s="5" t="s">
        <v>17</v>
      </c>
      <c r="M12" s="43">
        <f>E7</f>
        <v>0.9</v>
      </c>
      <c r="N12" s="1">
        <f>1.4*M12*H6</f>
        <v>7.5600000000000005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98"/>
      <c r="H13" s="99"/>
      <c r="I13" s="5"/>
      <c r="J13" s="5"/>
      <c r="K13" s="5"/>
      <c r="L13" s="5" t="s">
        <v>21</v>
      </c>
      <c r="M13" s="43">
        <f>(H2/2)-SUM(M10:M12)-E4-E9</f>
        <v>42.300000000000004</v>
      </c>
      <c r="N13" s="1">
        <f>1.4*M13*H6</f>
        <v>355.32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2"/>
      <c r="G14" s="100"/>
      <c r="H14" s="101"/>
      <c r="I14" s="5"/>
      <c r="J14" s="5"/>
      <c r="K14" s="5"/>
      <c r="L14" s="5" t="s">
        <v>33</v>
      </c>
      <c r="M14" s="5">
        <f>SUM(M10:M13)</f>
        <v>44.1</v>
      </c>
      <c r="N14" s="5">
        <f>SUM(N10:N13)</f>
        <v>370.44</v>
      </c>
    </row>
    <row r="15" spans="1:15" x14ac:dyDescent="0.3">
      <c r="A15" s="50" t="s">
        <v>34</v>
      </c>
      <c r="B15" s="51">
        <v>2000</v>
      </c>
      <c r="C15" s="54">
        <v>20</v>
      </c>
      <c r="D15" s="102"/>
      <c r="E15" s="102"/>
      <c r="L15" s="5" t="s">
        <v>8</v>
      </c>
      <c r="M15" s="42">
        <f>E4</f>
        <v>0.9</v>
      </c>
      <c r="N15" s="55">
        <f>1.4*M15*H6</f>
        <v>7.5600000000000005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2"/>
      <c r="E16" s="102"/>
      <c r="H16" t="s">
        <v>36</v>
      </c>
      <c r="I16" t="s">
        <v>37</v>
      </c>
      <c r="L16" s="103" t="s">
        <v>38</v>
      </c>
      <c r="M16" s="104">
        <f>M14+M15</f>
        <v>45</v>
      </c>
      <c r="N16" s="107">
        <f>SUM(N14:N15)</f>
        <v>378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2.7</v>
      </c>
      <c r="I17" s="59">
        <f>H17*1.4</f>
        <v>3.78</v>
      </c>
      <c r="J17" t="s">
        <v>84</v>
      </c>
      <c r="L17" s="103"/>
      <c r="M17" s="105"/>
      <c r="N17" s="105"/>
    </row>
    <row r="18" spans="1:14" x14ac:dyDescent="0.3">
      <c r="A18" s="108" t="s">
        <v>40</v>
      </c>
      <c r="B18" s="108"/>
      <c r="C18" s="108"/>
      <c r="D18" s="108"/>
      <c r="E18" s="108"/>
      <c r="G18" t="s">
        <v>41</v>
      </c>
      <c r="H18" s="59">
        <f>E3</f>
        <v>10.812109562710235</v>
      </c>
      <c r="I18" s="59">
        <f>H18*1.4</f>
        <v>15.136953387794328</v>
      </c>
      <c r="J18" t="s">
        <v>85</v>
      </c>
      <c r="L18" s="103"/>
      <c r="M18" s="106"/>
      <c r="N18" s="106"/>
    </row>
    <row r="19" spans="1:14" ht="15" customHeight="1" x14ac:dyDescent="0.3">
      <c r="A19" s="108"/>
      <c r="B19" s="108"/>
      <c r="C19" s="108"/>
      <c r="D19" s="108"/>
      <c r="E19" s="108"/>
      <c r="G19" t="s">
        <v>42</v>
      </c>
      <c r="H19" s="59">
        <f>(H2/2)-H17-H18</f>
        <v>31.487890437289764</v>
      </c>
      <c r="I19">
        <f>H19*1.4</f>
        <v>44.083046612205663</v>
      </c>
      <c r="J19" t="s">
        <v>86</v>
      </c>
    </row>
    <row r="20" spans="1:14" ht="15.75" customHeight="1" thickBot="1" x14ac:dyDescent="0.35">
      <c r="A20" s="108"/>
      <c r="B20" s="108"/>
      <c r="C20" s="108"/>
      <c r="D20" s="108"/>
      <c r="E20" s="108"/>
      <c r="G20" t="s">
        <v>33</v>
      </c>
      <c r="H20" s="60">
        <f>SUM(H17:H19)</f>
        <v>45</v>
      </c>
      <c r="I20" s="60">
        <f>SUM(I17:I19)</f>
        <v>62.999999999999993</v>
      </c>
    </row>
    <row r="21" spans="1:14" ht="15" customHeight="1" x14ac:dyDescent="0.3">
      <c r="A21" s="108"/>
      <c r="B21" s="108"/>
      <c r="C21" s="108"/>
      <c r="D21" s="108"/>
      <c r="E21" s="108"/>
      <c r="G21" s="61" t="s">
        <v>43</v>
      </c>
      <c r="H21" s="62"/>
      <c r="J21" s="109" t="s">
        <v>44</v>
      </c>
      <c r="K21" s="112">
        <v>8.3239999999999998</v>
      </c>
      <c r="L21" s="63"/>
      <c r="M21" s="63" t="s">
        <v>45</v>
      </c>
    </row>
    <row r="22" spans="1:14" ht="15" customHeight="1" x14ac:dyDescent="0.3">
      <c r="A22" s="108"/>
      <c r="B22" s="108"/>
      <c r="C22" s="108"/>
      <c r="D22" s="108"/>
      <c r="E22" s="108"/>
      <c r="G22" s="62" t="s">
        <v>15</v>
      </c>
      <c r="H22" s="64">
        <f>1.4*H17*($H$5*$H$4)</f>
        <v>11.34</v>
      </c>
      <c r="I22" s="59"/>
      <c r="J22" s="110"/>
      <c r="K22" s="113"/>
      <c r="L22" s="63"/>
      <c r="M22" s="62" t="s">
        <v>15</v>
      </c>
      <c r="N22" s="64">
        <f>H22</f>
        <v>11.34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1.4*H18*($H$5*$H$4)</f>
        <v>45.410860163382985</v>
      </c>
      <c r="I23" s="59"/>
      <c r="J23" s="111"/>
      <c r="K23" s="114"/>
      <c r="L23" s="63"/>
      <c r="M23" s="62" t="s">
        <v>21</v>
      </c>
      <c r="N23" s="64">
        <f>H24+H23</f>
        <v>177.65999999999997</v>
      </c>
    </row>
    <row r="24" spans="1:14" x14ac:dyDescent="0.3">
      <c r="A24" s="126" t="s">
        <v>46</v>
      </c>
      <c r="B24" s="126"/>
      <c r="C24" s="65">
        <f>(C4*H1)*1000000</f>
        <v>9.0000000000000011E-3</v>
      </c>
      <c r="D24" s="127" t="s">
        <v>47</v>
      </c>
      <c r="E24" s="53"/>
      <c r="G24" s="62" t="s">
        <v>21</v>
      </c>
      <c r="H24" s="64">
        <f>1.4*H19*($H$5*$H$4)</f>
        <v>132.24913983661699</v>
      </c>
      <c r="J24" s="63"/>
      <c r="K24" s="63"/>
      <c r="L24" s="63"/>
    </row>
    <row r="25" spans="1:14" x14ac:dyDescent="0.3">
      <c r="A25" s="128" t="s">
        <v>48</v>
      </c>
      <c r="B25" s="128"/>
      <c r="C25" s="66">
        <v>30634.39</v>
      </c>
      <c r="D25" s="127"/>
      <c r="E25" s="67"/>
      <c r="F25" s="68" t="s">
        <v>49</v>
      </c>
      <c r="G25" s="69" t="s">
        <v>33</v>
      </c>
      <c r="H25" s="70">
        <f>SUM(H22:H24)</f>
        <v>188.99999999999997</v>
      </c>
      <c r="J25" s="63" t="s">
        <v>50</v>
      </c>
      <c r="K25" s="63"/>
      <c r="L25" s="63"/>
      <c r="M25" s="63"/>
    </row>
    <row r="26" spans="1:14" x14ac:dyDescent="0.3">
      <c r="A26" s="128" t="s">
        <v>51</v>
      </c>
      <c r="B26" s="128"/>
      <c r="C26" s="7">
        <f>C3*H1</f>
        <v>8.9999999999999999E-11</v>
      </c>
      <c r="D26" s="127"/>
      <c r="E26" s="67" t="s">
        <v>52</v>
      </c>
      <c r="F26" s="68">
        <v>29346</v>
      </c>
      <c r="I26" t="s">
        <v>87</v>
      </c>
    </row>
    <row r="27" spans="1:14" x14ac:dyDescent="0.3">
      <c r="A27" s="128" t="s">
        <v>53</v>
      </c>
      <c r="B27" s="128"/>
      <c r="C27" s="71">
        <f>C26*C25*1000</f>
        <v>2.7570950999999998E-3</v>
      </c>
      <c r="D27" s="127"/>
      <c r="E27" s="67" t="s">
        <v>54</v>
      </c>
      <c r="F27" s="68">
        <v>29386</v>
      </c>
    </row>
    <row r="29" spans="1:14" x14ac:dyDescent="0.3">
      <c r="A29" s="129" t="s">
        <v>83</v>
      </c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115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116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117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118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119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120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121" t="s">
        <v>68</v>
      </c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123" t="s">
        <v>82</v>
      </c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5"/>
    </row>
  </sheetData>
  <mergeCells count="23"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  <mergeCell ref="D15:D16"/>
    <mergeCell ref="L16:L18"/>
    <mergeCell ref="M16:M18"/>
    <mergeCell ref="N16:N18"/>
    <mergeCell ref="A18:E22"/>
    <mergeCell ref="J21:J23"/>
    <mergeCell ref="K21:K23"/>
    <mergeCell ref="E14:E16"/>
    <mergeCell ref="J1:K2"/>
    <mergeCell ref="L4:M5"/>
    <mergeCell ref="J7:K7"/>
    <mergeCell ref="M7:N7"/>
    <mergeCell ref="G12:H14"/>
  </mergeCells>
  <pageMargins left="0.7" right="0.7" top="0.75" bottom="0.75" header="0.3" footer="0.3"/>
  <pageSetup paperSize="9" scale="5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92861-DABB-4D6D-8432-710074145CFC}">
  <sheetPr>
    <pageSetUpPr fitToPage="1"/>
  </sheetPr>
  <dimension ref="A1:O51"/>
  <sheetViews>
    <sheetView topLeftCell="B1" zoomScale="91" zoomScaleNormal="52" workbookViewId="0">
      <selection activeCell="K24" sqref="K24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9.0000000000000006E-5</v>
      </c>
      <c r="J1" s="89"/>
      <c r="K1" s="90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90</v>
      </c>
      <c r="J2" s="90"/>
      <c r="K2" s="90"/>
    </row>
    <row r="3" spans="1:15" ht="15" thickBot="1" x14ac:dyDescent="0.35">
      <c r="A3" s="9" t="s">
        <v>7</v>
      </c>
      <c r="B3" s="10">
        <f>K21/1000000</f>
        <v>5.7691999999999998E-6</v>
      </c>
      <c r="C3" s="11">
        <f>L7/1000000</f>
        <v>9.9999999999999995E-7</v>
      </c>
      <c r="D3" s="12">
        <f>C3*H1</f>
        <v>8.9999999999999999E-11</v>
      </c>
      <c r="E3" s="13">
        <f>1000000*(D3/B3)</f>
        <v>15.600083200443736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1E-4</v>
      </c>
      <c r="D4" s="16">
        <f>C4*H1</f>
        <v>9.0000000000000012E-9</v>
      </c>
      <c r="E4" s="17">
        <f>1000000*(D4/B4)</f>
        <v>0.9</v>
      </c>
      <c r="G4" s="8" t="s">
        <v>9</v>
      </c>
      <c r="H4" s="18">
        <v>3</v>
      </c>
      <c r="J4" s="19" t="s">
        <v>10</v>
      </c>
      <c r="K4" s="19">
        <v>1</v>
      </c>
      <c r="L4" s="91" t="s">
        <v>11</v>
      </c>
      <c r="M4" s="91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4.5000000000000003E-7</v>
      </c>
      <c r="E5" s="23">
        <f>1000000*(D5/B5)</f>
        <v>0.9</v>
      </c>
      <c r="G5" s="8" t="s">
        <v>13</v>
      </c>
      <c r="H5" s="24">
        <v>1</v>
      </c>
      <c r="J5" s="8" t="s">
        <v>14</v>
      </c>
      <c r="K5" s="18">
        <v>1</v>
      </c>
      <c r="L5" s="91"/>
      <c r="M5" s="91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5.4000000000000004E-9</v>
      </c>
      <c r="E6" s="23">
        <f>1000000*(D6/B6)</f>
        <v>2.7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9.0000000000000012E-8</v>
      </c>
      <c r="E7" s="28">
        <f>1000000*(D7/B7)</f>
        <v>0.9</v>
      </c>
      <c r="G7" s="29" t="s">
        <v>18</v>
      </c>
      <c r="H7" s="18">
        <v>0</v>
      </c>
      <c r="J7" s="92" t="s">
        <v>19</v>
      </c>
      <c r="K7" s="93"/>
      <c r="L7" s="30">
        <v>1</v>
      </c>
      <c r="M7" s="94" t="s">
        <v>20</v>
      </c>
      <c r="N7" s="95"/>
      <c r="O7" s="31">
        <v>100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68.999916799556274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264.60000000000002</v>
      </c>
      <c r="I10" s="5" t="s">
        <v>26</v>
      </c>
      <c r="J10" s="5">
        <f>H10*1.2</f>
        <v>317.52000000000004</v>
      </c>
      <c r="K10" s="5"/>
      <c r="L10" s="5" t="s">
        <v>12</v>
      </c>
      <c r="M10" s="43">
        <f>E5</f>
        <v>0.9</v>
      </c>
      <c r="N10" s="1">
        <f>1.4*M10*H6</f>
        <v>7.5600000000000005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96" t="s">
        <v>27</v>
      </c>
      <c r="H12" s="97"/>
      <c r="I12" s="5"/>
      <c r="J12" s="5"/>
      <c r="K12" s="5"/>
      <c r="L12" s="5" t="s">
        <v>17</v>
      </c>
      <c r="M12" s="43">
        <f>E7</f>
        <v>0.9</v>
      </c>
      <c r="N12" s="1">
        <f>1.4*M12*H6</f>
        <v>7.5600000000000005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98"/>
      <c r="H13" s="99"/>
      <c r="I13" s="5"/>
      <c r="J13" s="5"/>
      <c r="K13" s="5"/>
      <c r="L13" s="5" t="s">
        <v>21</v>
      </c>
      <c r="M13" s="43">
        <f>(H2/2)-SUM(M10:M12)-E4-E9</f>
        <v>42.300000000000004</v>
      </c>
      <c r="N13" s="1">
        <f>1.4*M13*H6</f>
        <v>355.32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2"/>
      <c r="G14" s="100"/>
      <c r="H14" s="101"/>
      <c r="I14" s="5"/>
      <c r="J14" s="5"/>
      <c r="K14" s="5"/>
      <c r="L14" s="5" t="s">
        <v>33</v>
      </c>
      <c r="M14" s="5">
        <f>SUM(M10:M13)</f>
        <v>44.1</v>
      </c>
      <c r="N14" s="5">
        <f>SUM(N10:N13)</f>
        <v>370.44</v>
      </c>
    </row>
    <row r="15" spans="1:15" x14ac:dyDescent="0.3">
      <c r="A15" s="50" t="s">
        <v>34</v>
      </c>
      <c r="B15" s="51">
        <v>2000</v>
      </c>
      <c r="C15" s="54">
        <v>20</v>
      </c>
      <c r="D15" s="102"/>
      <c r="E15" s="102"/>
      <c r="L15" s="5" t="s">
        <v>8</v>
      </c>
      <c r="M15" s="42">
        <f>E4</f>
        <v>0.9</v>
      </c>
      <c r="N15" s="55">
        <f>1.4*M15*H6</f>
        <v>7.5600000000000005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2"/>
      <c r="E16" s="102"/>
      <c r="H16" t="s">
        <v>36</v>
      </c>
      <c r="I16" t="s">
        <v>37</v>
      </c>
      <c r="L16" s="103" t="s">
        <v>38</v>
      </c>
      <c r="M16" s="104">
        <f>M14+M15</f>
        <v>45</v>
      </c>
      <c r="N16" s="107">
        <f>SUM(N14:N15)</f>
        <v>378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2.7</v>
      </c>
      <c r="I17" s="59">
        <f>H17*1.4</f>
        <v>3.78</v>
      </c>
      <c r="J17" t="s">
        <v>84</v>
      </c>
      <c r="L17" s="103"/>
      <c r="M17" s="105"/>
      <c r="N17" s="105"/>
    </row>
    <row r="18" spans="1:14" x14ac:dyDescent="0.3">
      <c r="A18" s="108" t="s">
        <v>40</v>
      </c>
      <c r="B18" s="108"/>
      <c r="C18" s="108"/>
      <c r="D18" s="108"/>
      <c r="E18" s="108"/>
      <c r="G18" t="s">
        <v>41</v>
      </c>
      <c r="H18" s="59">
        <f>E3</f>
        <v>15.600083200443736</v>
      </c>
      <c r="I18" s="59">
        <f>H18*1.4</f>
        <v>21.84011648062123</v>
      </c>
      <c r="J18" t="s">
        <v>85</v>
      </c>
      <c r="L18" s="103"/>
      <c r="M18" s="106"/>
      <c r="N18" s="106"/>
    </row>
    <row r="19" spans="1:14" ht="15" customHeight="1" x14ac:dyDescent="0.3">
      <c r="A19" s="108"/>
      <c r="B19" s="108"/>
      <c r="C19" s="108"/>
      <c r="D19" s="108"/>
      <c r="E19" s="108"/>
      <c r="G19" t="s">
        <v>42</v>
      </c>
      <c r="H19" s="59">
        <f>(H2/2)-H17-H18</f>
        <v>26.699916799556263</v>
      </c>
      <c r="I19">
        <f>H19*1.4</f>
        <v>37.379883519378765</v>
      </c>
      <c r="J19" t="s">
        <v>86</v>
      </c>
    </row>
    <row r="20" spans="1:14" ht="15.75" customHeight="1" thickBot="1" x14ac:dyDescent="0.35">
      <c r="A20" s="108"/>
      <c r="B20" s="108"/>
      <c r="C20" s="108"/>
      <c r="D20" s="108"/>
      <c r="E20" s="108"/>
      <c r="G20" t="s">
        <v>33</v>
      </c>
      <c r="H20" s="60">
        <f>SUM(H17:H19)</f>
        <v>45</v>
      </c>
      <c r="I20" s="60">
        <f>SUM(I17:I19)</f>
        <v>63</v>
      </c>
    </row>
    <row r="21" spans="1:14" ht="15" customHeight="1" x14ac:dyDescent="0.3">
      <c r="A21" s="108"/>
      <c r="B21" s="108"/>
      <c r="C21" s="108"/>
      <c r="D21" s="108"/>
      <c r="E21" s="108"/>
      <c r="G21" s="61" t="s">
        <v>43</v>
      </c>
      <c r="H21" s="62"/>
      <c r="J21" s="109" t="s">
        <v>44</v>
      </c>
      <c r="K21" s="112">
        <v>5.7691999999999997</v>
      </c>
      <c r="L21" s="63"/>
      <c r="M21" s="63" t="s">
        <v>45</v>
      </c>
    </row>
    <row r="22" spans="1:14" ht="15" customHeight="1" x14ac:dyDescent="0.3">
      <c r="A22" s="108"/>
      <c r="B22" s="108"/>
      <c r="C22" s="108"/>
      <c r="D22" s="108"/>
      <c r="E22" s="108"/>
      <c r="G22" s="62" t="s">
        <v>15</v>
      </c>
      <c r="H22" s="64">
        <f>1.4*H17*($H$5*$H$4)</f>
        <v>11.34</v>
      </c>
      <c r="I22" s="59"/>
      <c r="J22" s="110"/>
      <c r="K22" s="113"/>
      <c r="L22" s="63"/>
      <c r="M22" s="62" t="s">
        <v>15</v>
      </c>
      <c r="N22" s="64">
        <f>H22</f>
        <v>11.34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1.4*H18*($H$5*$H$4)</f>
        <v>65.520349441863686</v>
      </c>
      <c r="I23" s="59"/>
      <c r="J23" s="111"/>
      <c r="K23" s="114"/>
      <c r="L23" s="63"/>
      <c r="M23" s="62" t="s">
        <v>21</v>
      </c>
      <c r="N23" s="64">
        <f>H24+H23</f>
        <v>177.65999999999997</v>
      </c>
    </row>
    <row r="24" spans="1:14" x14ac:dyDescent="0.3">
      <c r="A24" s="126" t="s">
        <v>46</v>
      </c>
      <c r="B24" s="126"/>
      <c r="C24" s="65">
        <f>(C4*H1)*1000000</f>
        <v>9.0000000000000011E-3</v>
      </c>
      <c r="D24" s="127" t="s">
        <v>47</v>
      </c>
      <c r="E24" s="53"/>
      <c r="G24" s="62" t="s">
        <v>21</v>
      </c>
      <c r="H24" s="64">
        <f>1.4*H19*($H$5*$H$4)</f>
        <v>112.1396505581363</v>
      </c>
      <c r="J24" s="63"/>
      <c r="K24" s="63"/>
      <c r="L24" s="63"/>
    </row>
    <row r="25" spans="1:14" x14ac:dyDescent="0.3">
      <c r="A25" s="128" t="s">
        <v>48</v>
      </c>
      <c r="B25" s="128"/>
      <c r="C25" s="66">
        <v>42986.78</v>
      </c>
      <c r="D25" s="127"/>
      <c r="E25" s="67"/>
      <c r="F25" s="68" t="s">
        <v>49</v>
      </c>
      <c r="G25" s="69" t="s">
        <v>33</v>
      </c>
      <c r="H25" s="70">
        <f>SUM(H22:H24)</f>
        <v>189</v>
      </c>
      <c r="J25" s="63" t="s">
        <v>50</v>
      </c>
      <c r="K25" s="63"/>
      <c r="L25" s="63"/>
      <c r="M25" s="63"/>
    </row>
    <row r="26" spans="1:14" x14ac:dyDescent="0.3">
      <c r="A26" s="128" t="s">
        <v>51</v>
      </c>
      <c r="B26" s="128"/>
      <c r="C26" s="7">
        <f>C3*H1</f>
        <v>8.9999999999999999E-11</v>
      </c>
      <c r="D26" s="127"/>
      <c r="E26" s="67" t="s">
        <v>52</v>
      </c>
      <c r="F26" s="68">
        <v>29346</v>
      </c>
      <c r="I26" t="s">
        <v>87</v>
      </c>
    </row>
    <row r="27" spans="1:14" x14ac:dyDescent="0.3">
      <c r="A27" s="128" t="s">
        <v>53</v>
      </c>
      <c r="B27" s="128"/>
      <c r="C27" s="71">
        <f>C26*C25*1000</f>
        <v>3.8688101999999999E-3</v>
      </c>
      <c r="D27" s="127"/>
      <c r="E27" s="67" t="s">
        <v>54</v>
      </c>
      <c r="F27" s="68">
        <v>29386</v>
      </c>
    </row>
    <row r="29" spans="1:14" x14ac:dyDescent="0.3">
      <c r="A29" s="129" t="s">
        <v>83</v>
      </c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115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116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117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118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119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120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121" t="s">
        <v>68</v>
      </c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123" t="s">
        <v>82</v>
      </c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5"/>
    </row>
  </sheetData>
  <mergeCells count="23"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  <mergeCell ref="D15:D16"/>
    <mergeCell ref="L16:L18"/>
    <mergeCell ref="M16:M18"/>
    <mergeCell ref="N16:N18"/>
    <mergeCell ref="A18:E22"/>
    <mergeCell ref="J21:J23"/>
    <mergeCell ref="K21:K23"/>
    <mergeCell ref="E14:E16"/>
    <mergeCell ref="J1:K2"/>
    <mergeCell ref="L4:M5"/>
    <mergeCell ref="J7:K7"/>
    <mergeCell ref="M7:N7"/>
    <mergeCell ref="G12:H14"/>
  </mergeCells>
  <pageMargins left="0.7" right="0.7" top="0.75" bottom="0.75" header="0.3" footer="0.3"/>
  <pageSetup paperSize="9" scale="5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94FEE-093B-42C6-B74F-8BE25E23B495}">
  <sheetPr>
    <pageSetUpPr fitToPage="1"/>
  </sheetPr>
  <dimension ref="A1:O51"/>
  <sheetViews>
    <sheetView zoomScale="91" zoomScaleNormal="52" workbookViewId="0">
      <selection activeCell="K24" sqref="K24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9.0000000000000006E-5</v>
      </c>
      <c r="J1" s="89"/>
      <c r="K1" s="90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90</v>
      </c>
      <c r="J2" s="90"/>
      <c r="K2" s="90"/>
    </row>
    <row r="3" spans="1:15" ht="15" thickBot="1" x14ac:dyDescent="0.35">
      <c r="A3" s="9" t="s">
        <v>7</v>
      </c>
      <c r="B3" s="10">
        <f>K21/1000000</f>
        <v>8.4299000000000004E-6</v>
      </c>
      <c r="C3" s="11">
        <f>L7/1000000</f>
        <v>9.9999999999999995E-7</v>
      </c>
      <c r="D3" s="12">
        <f>C3*H1</f>
        <v>8.9999999999999999E-11</v>
      </c>
      <c r="E3" s="13">
        <f>1000000*(D3/B3)</f>
        <v>10.676283229931553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1E-4</v>
      </c>
      <c r="D4" s="16">
        <f>C4*H1</f>
        <v>9.0000000000000012E-9</v>
      </c>
      <c r="E4" s="17">
        <f>1000000*(D4/B4)</f>
        <v>0.9</v>
      </c>
      <c r="G4" s="8" t="s">
        <v>9</v>
      </c>
      <c r="H4" s="18">
        <v>3</v>
      </c>
      <c r="J4" s="19" t="s">
        <v>10</v>
      </c>
      <c r="K4" s="19">
        <v>1</v>
      </c>
      <c r="L4" s="91" t="s">
        <v>11</v>
      </c>
      <c r="M4" s="91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4.5000000000000003E-7</v>
      </c>
      <c r="E5" s="23">
        <f>1000000*(D5/B5)</f>
        <v>0.9</v>
      </c>
      <c r="G5" s="8" t="s">
        <v>13</v>
      </c>
      <c r="H5" s="24">
        <v>1</v>
      </c>
      <c r="J5" s="8" t="s">
        <v>14</v>
      </c>
      <c r="K5" s="18">
        <v>1</v>
      </c>
      <c r="L5" s="91"/>
      <c r="M5" s="91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5.4000000000000004E-9</v>
      </c>
      <c r="E6" s="23">
        <f>1000000*(D6/B6)</f>
        <v>2.7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9.0000000000000012E-8</v>
      </c>
      <c r="E7" s="28">
        <f>1000000*(D7/B7)</f>
        <v>0.9</v>
      </c>
      <c r="G7" s="29" t="s">
        <v>18</v>
      </c>
      <c r="H7" s="18">
        <v>0</v>
      </c>
      <c r="J7" s="92" t="s">
        <v>19</v>
      </c>
      <c r="K7" s="93"/>
      <c r="L7" s="30">
        <v>1</v>
      </c>
      <c r="M7" s="94" t="s">
        <v>20</v>
      </c>
      <c r="N7" s="95"/>
      <c r="O7" s="31">
        <v>100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73.923716770068452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264.60000000000002</v>
      </c>
      <c r="I10" s="5" t="s">
        <v>26</v>
      </c>
      <c r="J10" s="5">
        <f>H10*1.2</f>
        <v>317.52000000000004</v>
      </c>
      <c r="K10" s="5"/>
      <c r="L10" s="5" t="s">
        <v>12</v>
      </c>
      <c r="M10" s="43">
        <f>E5</f>
        <v>0.9</v>
      </c>
      <c r="N10" s="1">
        <f>1.4*M10*H6</f>
        <v>7.5600000000000005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96" t="s">
        <v>27</v>
      </c>
      <c r="H12" s="97"/>
      <c r="I12" s="5"/>
      <c r="J12" s="5"/>
      <c r="K12" s="5"/>
      <c r="L12" s="5" t="s">
        <v>17</v>
      </c>
      <c r="M12" s="43">
        <f>E7</f>
        <v>0.9</v>
      </c>
      <c r="N12" s="1">
        <f>1.4*M12*H6</f>
        <v>7.5600000000000005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98"/>
      <c r="H13" s="99"/>
      <c r="I13" s="5"/>
      <c r="J13" s="5"/>
      <c r="K13" s="5"/>
      <c r="L13" s="5" t="s">
        <v>21</v>
      </c>
      <c r="M13" s="43">
        <f>(H2/2)-SUM(M10:M12)-E4-E9</f>
        <v>42.300000000000004</v>
      </c>
      <c r="N13" s="1">
        <f>1.4*M13*H6</f>
        <v>355.32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2"/>
      <c r="G14" s="100"/>
      <c r="H14" s="101"/>
      <c r="I14" s="5"/>
      <c r="J14" s="5"/>
      <c r="K14" s="5"/>
      <c r="L14" s="5" t="s">
        <v>33</v>
      </c>
      <c r="M14" s="5">
        <f>SUM(M10:M13)</f>
        <v>44.1</v>
      </c>
      <c r="N14" s="5">
        <f>SUM(N10:N13)</f>
        <v>370.44</v>
      </c>
    </row>
    <row r="15" spans="1:15" x14ac:dyDescent="0.3">
      <c r="A15" s="50" t="s">
        <v>34</v>
      </c>
      <c r="B15" s="51">
        <v>2000</v>
      </c>
      <c r="C15" s="54">
        <v>20</v>
      </c>
      <c r="D15" s="102"/>
      <c r="E15" s="102"/>
      <c r="L15" s="5" t="s">
        <v>8</v>
      </c>
      <c r="M15" s="42">
        <f>E4</f>
        <v>0.9</v>
      </c>
      <c r="N15" s="55">
        <f>1.4*M15*H6</f>
        <v>7.5600000000000005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2"/>
      <c r="E16" s="102"/>
      <c r="H16" t="s">
        <v>36</v>
      </c>
      <c r="I16" t="s">
        <v>37</v>
      </c>
      <c r="L16" s="103" t="s">
        <v>38</v>
      </c>
      <c r="M16" s="104">
        <f>M14+M15</f>
        <v>45</v>
      </c>
      <c r="N16" s="107">
        <f>SUM(N14:N15)</f>
        <v>378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2.7</v>
      </c>
      <c r="I17" s="59">
        <f>H17*1.4</f>
        <v>3.78</v>
      </c>
      <c r="J17" t="s">
        <v>84</v>
      </c>
      <c r="L17" s="103"/>
      <c r="M17" s="105"/>
      <c r="N17" s="105"/>
    </row>
    <row r="18" spans="1:14" x14ac:dyDescent="0.3">
      <c r="A18" s="108" t="s">
        <v>40</v>
      </c>
      <c r="B18" s="108"/>
      <c r="C18" s="108"/>
      <c r="D18" s="108"/>
      <c r="E18" s="108"/>
      <c r="G18" t="s">
        <v>41</v>
      </c>
      <c r="H18" s="59">
        <f>E3</f>
        <v>10.676283229931553</v>
      </c>
      <c r="I18" s="59">
        <f>H18*1.4</f>
        <v>14.946796521904172</v>
      </c>
      <c r="J18" t="s">
        <v>85</v>
      </c>
      <c r="L18" s="103"/>
      <c r="M18" s="106"/>
      <c r="N18" s="106"/>
    </row>
    <row r="19" spans="1:14" ht="15" customHeight="1" x14ac:dyDescent="0.3">
      <c r="A19" s="108"/>
      <c r="B19" s="108"/>
      <c r="C19" s="108"/>
      <c r="D19" s="108"/>
      <c r="E19" s="108"/>
      <c r="G19" t="s">
        <v>42</v>
      </c>
      <c r="H19" s="59">
        <f>(H2/2)-H17-H18</f>
        <v>31.623716770068445</v>
      </c>
      <c r="I19">
        <f>H19*1.4</f>
        <v>44.273203478095823</v>
      </c>
      <c r="J19" t="s">
        <v>86</v>
      </c>
    </row>
    <row r="20" spans="1:14" ht="15.75" customHeight="1" thickBot="1" x14ac:dyDescent="0.35">
      <c r="A20" s="108"/>
      <c r="B20" s="108"/>
      <c r="C20" s="108"/>
      <c r="D20" s="108"/>
      <c r="E20" s="108"/>
      <c r="G20" t="s">
        <v>33</v>
      </c>
      <c r="H20" s="60">
        <f>SUM(H17:H19)</f>
        <v>45</v>
      </c>
      <c r="I20" s="60">
        <f>SUM(I17:I19)</f>
        <v>63</v>
      </c>
    </row>
    <row r="21" spans="1:14" ht="15" customHeight="1" x14ac:dyDescent="0.3">
      <c r="A21" s="108"/>
      <c r="B21" s="108"/>
      <c r="C21" s="108"/>
      <c r="D21" s="108"/>
      <c r="E21" s="108"/>
      <c r="G21" s="61" t="s">
        <v>43</v>
      </c>
      <c r="H21" s="62"/>
      <c r="J21" s="109" t="s">
        <v>44</v>
      </c>
      <c r="K21" s="112">
        <v>8.4298999999999999</v>
      </c>
      <c r="L21" s="63"/>
      <c r="M21" s="63" t="s">
        <v>45</v>
      </c>
    </row>
    <row r="22" spans="1:14" ht="15" customHeight="1" x14ac:dyDescent="0.3">
      <c r="A22" s="108"/>
      <c r="B22" s="108"/>
      <c r="C22" s="108"/>
      <c r="D22" s="108"/>
      <c r="E22" s="108"/>
      <c r="G22" s="62" t="s">
        <v>15</v>
      </c>
      <c r="H22" s="64">
        <f>1.4*H17*($H$5*$H$4)</f>
        <v>11.34</v>
      </c>
      <c r="I22" s="59"/>
      <c r="J22" s="110"/>
      <c r="K22" s="113"/>
      <c r="L22" s="63"/>
      <c r="M22" s="62" t="s">
        <v>15</v>
      </c>
      <c r="N22" s="64">
        <f>H22</f>
        <v>11.34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1.4*H18*($H$5*$H$4)</f>
        <v>44.840389565712513</v>
      </c>
      <c r="I23" s="59"/>
      <c r="J23" s="111"/>
      <c r="K23" s="114"/>
      <c r="L23" s="63"/>
      <c r="M23" s="62" t="s">
        <v>21</v>
      </c>
      <c r="N23" s="64">
        <f>H24+H23</f>
        <v>177.66</v>
      </c>
    </row>
    <row r="24" spans="1:14" x14ac:dyDescent="0.3">
      <c r="A24" s="126" t="s">
        <v>46</v>
      </c>
      <c r="B24" s="126"/>
      <c r="C24" s="65">
        <f>(C4*H1)*1000000</f>
        <v>9.0000000000000011E-3</v>
      </c>
      <c r="D24" s="127" t="s">
        <v>47</v>
      </c>
      <c r="E24" s="53"/>
      <c r="G24" s="62" t="s">
        <v>21</v>
      </c>
      <c r="H24" s="64">
        <f>1.4*H19*($H$5*$H$4)</f>
        <v>132.81961043428748</v>
      </c>
      <c r="J24" s="63"/>
      <c r="K24" s="63"/>
      <c r="L24" s="63"/>
    </row>
    <row r="25" spans="1:14" x14ac:dyDescent="0.3">
      <c r="A25" s="128" t="s">
        <v>48</v>
      </c>
      <c r="B25" s="128"/>
      <c r="C25" s="66">
        <v>28232.74</v>
      </c>
      <c r="D25" s="127"/>
      <c r="E25" s="67"/>
      <c r="F25" s="68" t="s">
        <v>49</v>
      </c>
      <c r="G25" s="69" t="s">
        <v>33</v>
      </c>
      <c r="H25" s="70">
        <f>SUM(H22:H24)</f>
        <v>189</v>
      </c>
      <c r="J25" s="63" t="s">
        <v>50</v>
      </c>
      <c r="K25" s="63"/>
      <c r="L25" s="63"/>
      <c r="M25" s="63"/>
    </row>
    <row r="26" spans="1:14" x14ac:dyDescent="0.3">
      <c r="A26" s="128" t="s">
        <v>51</v>
      </c>
      <c r="B26" s="128"/>
      <c r="C26" s="7">
        <f>C3*H1</f>
        <v>8.9999999999999999E-11</v>
      </c>
      <c r="D26" s="127"/>
      <c r="E26" s="67" t="s">
        <v>52</v>
      </c>
      <c r="F26" s="68">
        <v>29346</v>
      </c>
      <c r="I26" t="s">
        <v>87</v>
      </c>
    </row>
    <row r="27" spans="1:14" x14ac:dyDescent="0.3">
      <c r="A27" s="128" t="s">
        <v>53</v>
      </c>
      <c r="B27" s="128"/>
      <c r="C27" s="71">
        <f>C26*C25*1000</f>
        <v>2.5409466000000003E-3</v>
      </c>
      <c r="D27" s="127"/>
      <c r="E27" s="67" t="s">
        <v>54</v>
      </c>
      <c r="F27" s="68">
        <v>29386</v>
      </c>
    </row>
    <row r="29" spans="1:14" x14ac:dyDescent="0.3">
      <c r="A29" s="129" t="s">
        <v>83</v>
      </c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115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116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117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118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119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120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121" t="s">
        <v>68</v>
      </c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123" t="s">
        <v>82</v>
      </c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5"/>
    </row>
  </sheetData>
  <mergeCells count="23"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  <mergeCell ref="D15:D16"/>
    <mergeCell ref="L16:L18"/>
    <mergeCell ref="M16:M18"/>
    <mergeCell ref="N16:N18"/>
    <mergeCell ref="A18:E22"/>
    <mergeCell ref="J21:J23"/>
    <mergeCell ref="K21:K23"/>
    <mergeCell ref="E14:E16"/>
    <mergeCell ref="J1:K2"/>
    <mergeCell ref="L4:M5"/>
    <mergeCell ref="J7:K7"/>
    <mergeCell ref="M7:N7"/>
    <mergeCell ref="G12:H14"/>
  </mergeCells>
  <pageMargins left="0.7" right="0.7" top="0.75" bottom="0.75" header="0.3" footer="0.3"/>
  <pageSetup paperSize="9" scale="5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fb25fc-3784-47cf-8a82-09f438381668">
      <Terms xmlns="http://schemas.microsoft.com/office/infopath/2007/PartnerControls"/>
    </lcf76f155ced4ddcb4097134ff3c332f>
    <TaxCatchAll xmlns="fc8bd621-3187-492f-a172-823cba7be7d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52EDE2F4945B419B69DE19452F0F16" ma:contentTypeVersion="16" ma:contentTypeDescription="Create a new document." ma:contentTypeScope="" ma:versionID="3316eb75a80975a24122714ed5f06cc6">
  <xsd:schema xmlns:xsd="http://www.w3.org/2001/XMLSchema" xmlns:xs="http://www.w3.org/2001/XMLSchema" xmlns:p="http://schemas.microsoft.com/office/2006/metadata/properties" xmlns:ns2="96fb25fc-3784-47cf-8a82-09f438381668" xmlns:ns3="fc8bd621-3187-492f-a172-823cba7be7d4" targetNamespace="http://schemas.microsoft.com/office/2006/metadata/properties" ma:root="true" ma:fieldsID="0c4fbab3a5d75f9fed625cb0bda077a7" ns2:_="" ns3:_="">
    <xsd:import namespace="96fb25fc-3784-47cf-8a82-09f438381668"/>
    <xsd:import namespace="fc8bd621-3187-492f-a172-823cba7be7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fb25fc-3784-47cf-8a82-09f4383816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eeb44a9-b924-44d0-8ed9-f8b504a4b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8bd621-3187-492f-a172-823cba7be7d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7fea4e6-9944-4b0c-974d-0dc698d81eb4}" ma:internalName="TaxCatchAll" ma:showField="CatchAllData" ma:web="fc8bd621-3187-492f-a172-823cba7be7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39696D-F5EF-4074-BA8D-369D72C030D3}">
  <ds:schemaRefs>
    <ds:schemaRef ds:uri="http://schemas.microsoft.com/office/2006/metadata/properties"/>
    <ds:schemaRef ds:uri="http://schemas.microsoft.com/office/infopath/2007/PartnerControls"/>
    <ds:schemaRef ds:uri="96fb25fc-3784-47cf-8a82-09f438381668"/>
    <ds:schemaRef ds:uri="fc8bd621-3187-492f-a172-823cba7be7d4"/>
  </ds:schemaRefs>
</ds:datastoreItem>
</file>

<file path=customXml/itemProps2.xml><?xml version="1.0" encoding="utf-8"?>
<ds:datastoreItem xmlns:ds="http://schemas.openxmlformats.org/officeDocument/2006/customXml" ds:itemID="{B4CA15EA-9E3F-472C-AE7A-DC52430A26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382BBC-13EF-470E-86C9-89110DF220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fb25fc-3784-47cf-8a82-09f438381668"/>
    <ds:schemaRef ds:uri="fc8bd621-3187-492f-a172-823cba7be7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AtPCO4</vt:lpstr>
      <vt:lpstr>Sml_PpPCO</vt:lpstr>
      <vt:lpstr>Lrg_PpPCO</vt:lpstr>
      <vt:lpstr>Lrg_FsPCO</vt:lpstr>
      <vt:lpstr>GcPCO</vt:lpstr>
      <vt:lpstr>PuPCO</vt:lpstr>
      <vt:lpstr>Sml_FsPCO</vt:lpstr>
    </vt:vector>
  </TitlesOfParts>
  <Manager/>
  <Company>University of Oxford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Dona Gunawardana</dc:creator>
  <cp:keywords/>
  <dc:description/>
  <cp:lastModifiedBy>Oliver Eyre</cp:lastModifiedBy>
  <cp:revision/>
  <dcterms:created xsi:type="dcterms:W3CDTF">2022-08-15T11:58:52Z</dcterms:created>
  <dcterms:modified xsi:type="dcterms:W3CDTF">2026-03-12T11:50:33Z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0x0101006D52EDE2F4945B419B69DE19452F0F16</vt:lpwstr>
  </property>
  <property fmtid="{D5CDD505-2E9C-101B-9397-08002B2CF9AE}" pid="3" name="MediaServiceImageTags">
    <vt:lpwstr/>
  </property>
</Properties>
</file>