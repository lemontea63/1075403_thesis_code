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Initial Activity/"/>
    </mc:Choice>
  </mc:AlternateContent>
  <xr:revisionPtr revIDLastSave="7" documentId="8_{1D9B01F9-C712-449E-B1A6-8E765DE55758}" xr6:coauthVersionLast="47" xr6:coauthVersionMax="47" xr10:uidLastSave="{99C9B977-B5E7-47C9-8718-C76F2559B72E}"/>
  <bookViews>
    <workbookView xWindow="-108" yWindow="-108" windowWidth="23256" windowHeight="13896" xr2:uid="{DDCF3E13-D2E2-4E14-AB9E-6AA60CE09D32}"/>
  </bookViews>
  <sheets>
    <sheet name="AtPCO4" sheetId="8" r:id="rId1"/>
    <sheet name="Sml_PpPCO" sheetId="7" r:id="rId2"/>
    <sheet name="Lrg_PpPCO" sheetId="6" r:id="rId3"/>
    <sheet name="Lrg_FsPCO" sheetId="1" r:id="rId4"/>
    <sheet name="GcPCO" sheetId="5" r:id="rId5"/>
    <sheet name="PuPCO" sheetId="4" r:id="rId6"/>
    <sheet name="Sml_FsPCO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8" l="1"/>
  <c r="B9" i="8"/>
  <c r="E9" i="8" s="1"/>
  <c r="C7" i="8"/>
  <c r="D7" i="8" s="1"/>
  <c r="E7" i="8" s="1"/>
  <c r="M12" i="8" s="1"/>
  <c r="N12" i="8" s="1"/>
  <c r="B7" i="8"/>
  <c r="C6" i="8"/>
  <c r="D6" i="8" s="1"/>
  <c r="E6" i="8" s="1"/>
  <c r="H17" i="8" s="1"/>
  <c r="B6" i="8"/>
  <c r="D5" i="8"/>
  <c r="E5" i="8" s="1"/>
  <c r="M10" i="8" s="1"/>
  <c r="C5" i="8"/>
  <c r="B5" i="8"/>
  <c r="C4" i="8"/>
  <c r="D4" i="8" s="1"/>
  <c r="E4" i="8" s="1"/>
  <c r="B4" i="8"/>
  <c r="C3" i="8"/>
  <c r="C26" i="8" s="1"/>
  <c r="C27" i="8" s="1"/>
  <c r="B3" i="8"/>
  <c r="H1" i="8"/>
  <c r="D9" i="8" s="1"/>
  <c r="C27" i="5"/>
  <c r="C9" i="7"/>
  <c r="B9" i="7"/>
  <c r="C7" i="7"/>
  <c r="B7" i="7"/>
  <c r="C6" i="7"/>
  <c r="B6" i="7"/>
  <c r="C5" i="7"/>
  <c r="B5" i="7"/>
  <c r="C4" i="7"/>
  <c r="B4" i="7"/>
  <c r="C3" i="7"/>
  <c r="B3" i="7"/>
  <c r="H1" i="7"/>
  <c r="C24" i="7" s="1"/>
  <c r="C9" i="6"/>
  <c r="B9" i="6"/>
  <c r="C7" i="6"/>
  <c r="B7" i="6"/>
  <c r="C6" i="6"/>
  <c r="B6" i="6"/>
  <c r="C5" i="6"/>
  <c r="B5" i="6"/>
  <c r="C4" i="6"/>
  <c r="B4" i="6"/>
  <c r="C3" i="6"/>
  <c r="B3" i="6"/>
  <c r="H1" i="6"/>
  <c r="D5" i="6" s="1"/>
  <c r="E5" i="6" s="1"/>
  <c r="M10" i="6" s="1"/>
  <c r="C9" i="5"/>
  <c r="D9" i="5" s="1"/>
  <c r="E9" i="5" s="1"/>
  <c r="B9" i="5"/>
  <c r="C7" i="5"/>
  <c r="D7" i="5" s="1"/>
  <c r="E7" i="5" s="1"/>
  <c r="M12" i="5" s="1"/>
  <c r="N12" i="5" s="1"/>
  <c r="B7" i="5"/>
  <c r="C6" i="5"/>
  <c r="D6" i="5" s="1"/>
  <c r="E6" i="5" s="1"/>
  <c r="H17" i="5" s="1"/>
  <c r="B6" i="5"/>
  <c r="C5" i="5"/>
  <c r="B5" i="5"/>
  <c r="C4" i="5"/>
  <c r="B4" i="5"/>
  <c r="C3" i="5"/>
  <c r="B3" i="5"/>
  <c r="H1" i="5"/>
  <c r="C24" i="5" s="1"/>
  <c r="C9" i="4"/>
  <c r="B9" i="4"/>
  <c r="C7" i="4"/>
  <c r="D7" i="4" s="1"/>
  <c r="E7" i="4" s="1"/>
  <c r="M12" i="4" s="1"/>
  <c r="N12" i="4" s="1"/>
  <c r="B7" i="4"/>
  <c r="C6" i="4"/>
  <c r="B6" i="4"/>
  <c r="C5" i="4"/>
  <c r="B5" i="4"/>
  <c r="C4" i="4"/>
  <c r="B4" i="4"/>
  <c r="C3" i="4"/>
  <c r="B3" i="4"/>
  <c r="H1" i="4"/>
  <c r="D4" i="4" s="1"/>
  <c r="E4" i="4" s="1"/>
  <c r="C9" i="3"/>
  <c r="B9" i="3"/>
  <c r="C7" i="3"/>
  <c r="B7" i="3"/>
  <c r="C6" i="3"/>
  <c r="D6" i="3" s="1"/>
  <c r="E6" i="3" s="1"/>
  <c r="H17" i="3" s="1"/>
  <c r="B6" i="3"/>
  <c r="C5" i="3"/>
  <c r="D5" i="3" s="1"/>
  <c r="E5" i="3" s="1"/>
  <c r="M10" i="3" s="1"/>
  <c r="B5" i="3"/>
  <c r="C4" i="3"/>
  <c r="B4" i="3"/>
  <c r="C3" i="3"/>
  <c r="C26" i="3" s="1"/>
  <c r="C27" i="3" s="1"/>
  <c r="B3" i="3"/>
  <c r="H1" i="3"/>
  <c r="D4" i="3" s="1"/>
  <c r="E4" i="3" s="1"/>
  <c r="C6" i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M13" i="8" l="1"/>
  <c r="N13" i="8" s="1"/>
  <c r="M15" i="8"/>
  <c r="N15" i="8" s="1"/>
  <c r="H10" i="8"/>
  <c r="J10" i="8" s="1"/>
  <c r="N10" i="8"/>
  <c r="N14" i="8" s="1"/>
  <c r="N16" i="8" s="1"/>
  <c r="M14" i="8"/>
  <c r="M16" i="8" s="1"/>
  <c r="H22" i="8"/>
  <c r="I17" i="8"/>
  <c r="D3" i="8"/>
  <c r="E3" i="8" s="1"/>
  <c r="H18" i="8" s="1"/>
  <c r="C24" i="8"/>
  <c r="D7" i="3"/>
  <c r="E7" i="3" s="1"/>
  <c r="M12" i="3" s="1"/>
  <c r="N12" i="3" s="1"/>
  <c r="D9" i="3"/>
  <c r="E9" i="3" s="1"/>
  <c r="D9" i="4"/>
  <c r="E9" i="4" s="1"/>
  <c r="D5" i="4"/>
  <c r="E5" i="4" s="1"/>
  <c r="M10" i="4" s="1"/>
  <c r="D6" i="4"/>
  <c r="E6" i="4" s="1"/>
  <c r="H17" i="4" s="1"/>
  <c r="D3" i="4"/>
  <c r="E3" i="4" s="1"/>
  <c r="D4" i="5"/>
  <c r="E4" i="5" s="1"/>
  <c r="C26" i="5"/>
  <c r="D5" i="5"/>
  <c r="E5" i="5" s="1"/>
  <c r="M10" i="5" s="1"/>
  <c r="M13" i="5" s="1"/>
  <c r="N13" i="5" s="1"/>
  <c r="D9" i="6"/>
  <c r="E9" i="6" s="1"/>
  <c r="M13" i="6" s="1"/>
  <c r="N13" i="6" s="1"/>
  <c r="D7" i="6"/>
  <c r="E7" i="6" s="1"/>
  <c r="M12" i="6" s="1"/>
  <c r="N12" i="6" s="1"/>
  <c r="C26" i="6"/>
  <c r="D4" i="6"/>
  <c r="E4" i="6" s="1"/>
  <c r="D6" i="6"/>
  <c r="E6" i="6" s="1"/>
  <c r="H17" i="6" s="1"/>
  <c r="D7" i="7"/>
  <c r="E7" i="7" s="1"/>
  <c r="M12" i="7" s="1"/>
  <c r="N12" i="7" s="1"/>
  <c r="D6" i="7"/>
  <c r="E6" i="7" s="1"/>
  <c r="H17" i="7" s="1"/>
  <c r="C26" i="7"/>
  <c r="D4" i="7"/>
  <c r="E4" i="7" s="1"/>
  <c r="D5" i="7"/>
  <c r="E5" i="7" s="1"/>
  <c r="M10" i="7" s="1"/>
  <c r="D9" i="7"/>
  <c r="E9" i="7" s="1"/>
  <c r="H10" i="7" s="1"/>
  <c r="J10" i="7" s="1"/>
  <c r="M15" i="7"/>
  <c r="N15" i="7" s="1"/>
  <c r="M13" i="7"/>
  <c r="N13" i="7" s="1"/>
  <c r="M14" i="7"/>
  <c r="M16" i="7" s="1"/>
  <c r="N10" i="7"/>
  <c r="N14" i="7" s="1"/>
  <c r="N16" i="7" s="1"/>
  <c r="H22" i="7"/>
  <c r="I17" i="7"/>
  <c r="D3" i="7"/>
  <c r="E3" i="7" s="1"/>
  <c r="H18" i="7" s="1"/>
  <c r="N10" i="6"/>
  <c r="M15" i="6"/>
  <c r="N15" i="6" s="1"/>
  <c r="H22" i="6"/>
  <c r="I17" i="6"/>
  <c r="C24" i="6"/>
  <c r="D3" i="6"/>
  <c r="E3" i="6" s="1"/>
  <c r="H18" i="6" s="1"/>
  <c r="H22" i="5"/>
  <c r="I17" i="5"/>
  <c r="N10" i="5"/>
  <c r="H10" i="5"/>
  <c r="J10" i="5" s="1"/>
  <c r="M15" i="5"/>
  <c r="N15" i="5" s="1"/>
  <c r="D3" i="5"/>
  <c r="E3" i="5" s="1"/>
  <c r="H18" i="5" s="1"/>
  <c r="M15" i="4"/>
  <c r="N15" i="4" s="1"/>
  <c r="M13" i="4"/>
  <c r="N13" i="4" s="1"/>
  <c r="H10" i="4"/>
  <c r="J10" i="4" s="1"/>
  <c r="N10" i="4"/>
  <c r="N14" i="4" s="1"/>
  <c r="N16" i="4" s="1"/>
  <c r="H22" i="4"/>
  <c r="I17" i="4"/>
  <c r="C24" i="4"/>
  <c r="C26" i="4"/>
  <c r="C27" i="4" s="1"/>
  <c r="H10" i="3"/>
  <c r="J10" i="3" s="1"/>
  <c r="M15" i="3"/>
  <c r="N15" i="3" s="1"/>
  <c r="M13" i="3"/>
  <c r="N13" i="3" s="1"/>
  <c r="N10" i="3"/>
  <c r="N14" i="3" s="1"/>
  <c r="N16" i="3" s="1"/>
  <c r="I17" i="3"/>
  <c r="H22" i="3"/>
  <c r="D3" i="3"/>
  <c r="E3" i="3" s="1"/>
  <c r="H18" i="3" s="1"/>
  <c r="C24" i="3"/>
  <c r="C24" i="1"/>
  <c r="D7" i="1"/>
  <c r="C26" i="1"/>
  <c r="C27" i="1" s="1"/>
  <c r="D6" i="1"/>
  <c r="E6" i="1"/>
  <c r="H17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H23" i="8" l="1"/>
  <c r="I18" i="8"/>
  <c r="E8" i="8"/>
  <c r="H19" i="8"/>
  <c r="N22" i="8"/>
  <c r="M14" i="3"/>
  <c r="M16" i="3" s="1"/>
  <c r="H18" i="4"/>
  <c r="E8" i="4"/>
  <c r="M14" i="4"/>
  <c r="M16" i="4" s="1"/>
  <c r="H10" i="6"/>
  <c r="J10" i="6" s="1"/>
  <c r="E8" i="7"/>
  <c r="I18" i="1"/>
  <c r="H23" i="1"/>
  <c r="H22" i="1"/>
  <c r="I17" i="1"/>
  <c r="H23" i="7"/>
  <c r="I18" i="7"/>
  <c r="N22" i="7"/>
  <c r="H19" i="7"/>
  <c r="H23" i="6"/>
  <c r="I18" i="6"/>
  <c r="N22" i="6"/>
  <c r="H19" i="6"/>
  <c r="H20" i="6" s="1"/>
  <c r="M14" i="6"/>
  <c r="M16" i="6" s="1"/>
  <c r="E8" i="6"/>
  <c r="N14" i="6"/>
  <c r="N16" i="6" s="1"/>
  <c r="N22" i="5"/>
  <c r="I18" i="5"/>
  <c r="H23" i="5"/>
  <c r="M14" i="5"/>
  <c r="M16" i="5" s="1"/>
  <c r="H19" i="5"/>
  <c r="H20" i="5" s="1"/>
  <c r="N14" i="5"/>
  <c r="N16" i="5" s="1"/>
  <c r="E8" i="5"/>
  <c r="N22" i="4"/>
  <c r="I18" i="3"/>
  <c r="H23" i="3"/>
  <c r="E8" i="3"/>
  <c r="N22" i="3"/>
  <c r="H19" i="3"/>
  <c r="N22" i="1"/>
  <c r="M15" i="1"/>
  <c r="N15" i="1" s="1"/>
  <c r="M13" i="1"/>
  <c r="N13" i="1" s="1"/>
  <c r="H10" i="1"/>
  <c r="J10" i="1" s="1"/>
  <c r="E8" i="1"/>
  <c r="H19" i="1"/>
  <c r="H24" i="8" l="1"/>
  <c r="I19" i="8"/>
  <c r="I20" i="8" s="1"/>
  <c r="H20" i="8"/>
  <c r="I18" i="4"/>
  <c r="H19" i="4"/>
  <c r="H23" i="4"/>
  <c r="I19" i="1"/>
  <c r="H24" i="1"/>
  <c r="N23" i="1" s="1"/>
  <c r="I20" i="1"/>
  <c r="H24" i="7"/>
  <c r="I19" i="7"/>
  <c r="I20" i="7" s="1"/>
  <c r="H20" i="7"/>
  <c r="I19" i="6"/>
  <c r="I20" i="6" s="1"/>
  <c r="H24" i="6"/>
  <c r="I19" i="5"/>
  <c r="I20" i="5" s="1"/>
  <c r="H24" i="5"/>
  <c r="H24" i="3"/>
  <c r="I19" i="3"/>
  <c r="I20" i="3" s="1"/>
  <c r="H20" i="3"/>
  <c r="N14" i="1"/>
  <c r="N16" i="1" s="1"/>
  <c r="M14" i="1"/>
  <c r="M16" i="1" s="1"/>
  <c r="H20" i="1"/>
  <c r="N23" i="8" l="1"/>
  <c r="H25" i="8"/>
  <c r="H24" i="4"/>
  <c r="N23" i="4" s="1"/>
  <c r="I19" i="4"/>
  <c r="I20" i="4" s="1"/>
  <c r="H20" i="4"/>
  <c r="N23" i="7"/>
  <c r="H25" i="7"/>
  <c r="N23" i="6"/>
  <c r="H25" i="6"/>
  <c r="N23" i="5"/>
  <c r="H25" i="5"/>
  <c r="N23" i="3"/>
  <c r="H25" i="3"/>
  <c r="H25" i="1"/>
  <c r="H25" i="4" l="1"/>
</calcChain>
</file>

<file path=xl/sharedStrings.xml><?xml version="1.0" encoding="utf-8"?>
<sst xmlns="http://schemas.openxmlformats.org/spreadsheetml/2006/main" count="1010" uniqueCount="89">
  <si>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</si>
  <si>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</si>
  <si>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</si>
  <si>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</si>
  <si>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</si>
  <si>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</si>
  <si>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</si>
  <si>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</si>
  <si>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</si>
  <si>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</si>
  <si>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</si>
  <si>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</si>
  <si>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</si>
  <si>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</si>
  <si>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</si>
  <si>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</si>
  <si>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</si>
  <si>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</si>
  <si>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</si>
  <si>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</si>
  <si>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</si>
  <si>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</si>
  <si>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</si>
  <si>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</si>
  <si>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</si>
  <si>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</si>
  <si>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</si>
  <si>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</si>
  <si>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</si>
  <si>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</si>
  <si>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</si>
  <si>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</si>
  <si>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</si>
  <si>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</si>
  <si>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</si>
  <si>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</si>
  <si>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</si>
  <si>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</si>
  <si>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</si>
  <si>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</si>
  <si>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</si>
  <si>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</si>
  <si>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</si>
  <si>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</si>
  <si>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</si>
  <si>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</si>
  <si>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</si>
  <si>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</si>
  <si>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</si>
  <si>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</si>
  <si>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</si>
  <si>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</si>
  <si>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</si>
  <si>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</si>
  <si>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</si>
  <si>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</si>
  <si>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</si>
  <si>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</si>
  <si>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</si>
  <si>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</si>
  <si>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</si>
  <si>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</si>
  <si>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</si>
  <si>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</si>
  <si>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</si>
  <si>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</si>
  <si>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</si>
  <si>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</si>
  <si>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</si>
  <si>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</si>
  <si>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</si>
  <si>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</si>
  <si>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</si>
  <si>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</si>
  <si>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</si>
  <si>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</si>
  <si>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</si>
  <si>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</si>
  <si>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</si>
  <si>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</si>
  <si>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</si>
  <si>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</si>
  <si>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</si>
  <si>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</si>
  <si>
    <t>NOTE: Originally make column was vol*1.2</t>
  </si>
  <si>
    <t>I had issues with volume of EM/MM0</t>
  </si>
  <si>
    <t>so did *1.4</t>
  </si>
  <si>
    <t>NOTE: Originally make column was vol*1.2 but I had issues with volume of mastermixes, so did *1.4 instead</t>
  </si>
  <si>
    <t>29.01 - 90uL as doing 13 timepoints, not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</si>
</sst>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848B-C2F3-444D-A3BF-2B076BBA26A6}">
  <sheetPr>
    <pageSetUpPr fitToPage="1"/>
  </sheetPr>
  <dimension ref="A1:O51"/>
  <sheetViews>
    <sheetView tabSelected="1" topLeftCell="D1" zoomScale="91" zoomScaleNormal="52" workbookViewId="0">
      <selection activeCell="L21" sqref="L21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I2" t="s">
        <v>88</v>
      </c>
      <c r="J2" s="90"/>
      <c r="K2" s="90"/>
    </row>
    <row r="3" spans="1:15" ht="15" thickBot="1" x14ac:dyDescent="0.35">
      <c r="A3" s="9" t="s">
        <v>7</v>
      </c>
      <c r="B3" s="10">
        <f>K21/1000000</f>
        <v>8.8589999999999994E-6</v>
      </c>
      <c r="C3" s="11">
        <f>L7/1000000</f>
        <v>9.9999999999999995E-7</v>
      </c>
      <c r="D3" s="12">
        <f>C3*H1</f>
        <v>8.9999999999999999E-11</v>
      </c>
      <c r="E3" s="13">
        <f>1000000*(D3/B3)</f>
        <v>10.15916017609211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74.440839823907893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10.15916017609211</v>
      </c>
      <c r="I18" s="59">
        <f>H18*1.4</f>
        <v>14.222824246528953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32.140839823907889</v>
      </c>
      <c r="I19">
        <f>H19*1.4</f>
        <v>44.997175753471041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8.859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42.668472739586861</v>
      </c>
      <c r="I23" s="59"/>
      <c r="J23" s="111"/>
      <c r="K23" s="114"/>
      <c r="L23" s="63"/>
      <c r="M23" s="62" t="s">
        <v>21</v>
      </c>
      <c r="N23" s="64">
        <f>H24+H23</f>
        <v>177.66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134.99152726041314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29346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2.6411399999999997E-3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04F-19EB-46D7-B8D6-EDADFF4934B8}">
  <sheetPr>
    <pageSetUpPr fitToPage="1"/>
  </sheetPr>
  <dimension ref="A1:O51"/>
  <sheetViews>
    <sheetView topLeftCell="B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9.8214000000000005E-6</v>
      </c>
      <c r="C3" s="11">
        <f>L7/1000000</f>
        <v>9.9999999999999995E-7</v>
      </c>
      <c r="D3" s="12">
        <f>C3*H1</f>
        <v>8.9999999999999999E-11</v>
      </c>
      <c r="E3" s="13">
        <f>1000000*(D3/B3)</f>
        <v>9.1636630215651529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75.436336978434852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9.1636630215651529</v>
      </c>
      <c r="I18" s="59">
        <f>H18*1.4</f>
        <v>12.829128230191213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33.136336978434841</v>
      </c>
      <c r="I19">
        <f>H19*1.4</f>
        <v>46.390871769808776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44.999999999999993</v>
      </c>
      <c r="I20" s="60">
        <f>SUM(I17:I19)</f>
        <v>62.999999999999986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9.8214000000000006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38.487384690573634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139.17261530942633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29120.07</v>
      </c>
      <c r="D25" s="127"/>
      <c r="E25" s="67"/>
      <c r="F25" s="68" t="s">
        <v>49</v>
      </c>
      <c r="G25" s="69" t="s">
        <v>33</v>
      </c>
      <c r="H25" s="70">
        <f>SUM(H22:H24)</f>
        <v>188.99999999999997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v>2.6208062999999999E-3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0C19-68B7-4F3E-BC21-B4B648BCA774}">
  <sheetPr>
    <pageSetUpPr fitToPage="1"/>
  </sheetPr>
  <dimension ref="A1:O51"/>
  <sheetViews>
    <sheetView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1.37019E-5</v>
      </c>
      <c r="C3" s="11">
        <f>L7/1000000</f>
        <v>9.9999999999999995E-7</v>
      </c>
      <c r="D3" s="12">
        <f>C3*H1</f>
        <v>8.9999999999999999E-11</v>
      </c>
      <c r="E3" s="13">
        <f>1000000*(D3/B3)</f>
        <v>6.5684321152540885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78.031567884745911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6.5684321152540885</v>
      </c>
      <c r="I18" s="59">
        <f>H18*1.4</f>
        <v>9.1958049613557229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35.731567884745907</v>
      </c>
      <c r="I19">
        <f>H19*1.4</f>
        <v>50.024195038644265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62.999999999999986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13.7019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27.587414884067169</v>
      </c>
      <c r="I23" s="59"/>
      <c r="J23" s="111"/>
      <c r="K23" s="114"/>
      <c r="L23" s="63"/>
      <c r="M23" s="62" t="s">
        <v>21</v>
      </c>
      <c r="N23" s="64">
        <f>H24+H23</f>
        <v>177.65999999999994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150.07258511593278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29120.07</v>
      </c>
      <c r="D25" s="127"/>
      <c r="E25" s="67"/>
      <c r="F25" s="68" t="s">
        <v>49</v>
      </c>
      <c r="G25" s="69" t="s">
        <v>33</v>
      </c>
      <c r="H25" s="70">
        <f>SUM(H22:H24)</f>
        <v>188.99999999999994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v>2.6208062999999999E-3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opLeftCell="D1" zoomScale="91" zoomScaleNormal="52" workbookViewId="0">
      <selection activeCell="Q22" sqref="Q22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I2" t="s">
        <v>88</v>
      </c>
      <c r="J2" s="90"/>
      <c r="K2" s="90"/>
    </row>
    <row r="3" spans="1:15" ht="15" thickBot="1" x14ac:dyDescent="0.35">
      <c r="A3" s="9" t="s">
        <v>7</v>
      </c>
      <c r="B3" s="10">
        <f>K21/1000000</f>
        <v>8.9600000000000006E-6</v>
      </c>
      <c r="C3" s="11">
        <f>L7/1000000</f>
        <v>9.9999999999999995E-7</v>
      </c>
      <c r="D3" s="12">
        <f>C3*H1</f>
        <v>8.9999999999999999E-11</v>
      </c>
      <c r="E3" s="13">
        <f>1000000*(D3/B3)</f>
        <v>10.044642857142856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74.555357142857147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10.044642857142856</v>
      </c>
      <c r="I18" s="59">
        <f>H18*1.4</f>
        <v>14.062499999999996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32.255357142857143</v>
      </c>
      <c r="I19">
        <f>H19*1.4</f>
        <v>45.157499999999999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8.9600000000000009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42.187499999999986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135.4725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28232.74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2.5409466000000003E-3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D234-2D04-4159-AAD7-CA8A2FEFDD09}">
  <sheetPr>
    <pageSetUpPr fitToPage="1"/>
  </sheetPr>
  <dimension ref="A1:O51"/>
  <sheetViews>
    <sheetView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1.26E-5</v>
      </c>
      <c r="C3" s="11">
        <f>L7/1000000</f>
        <v>9.9999999999999995E-7</v>
      </c>
      <c r="D3" s="12">
        <f>C3*H1</f>
        <v>8.9999999999999999E-11</v>
      </c>
      <c r="E3" s="13">
        <f>1000000*(D3/B3)</f>
        <v>7.1428571428571423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77.457142857142856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7.1428571428571423</v>
      </c>
      <c r="I18" s="59">
        <f>H18*1.4</f>
        <v>9.9999999999999982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35.157142857142858</v>
      </c>
      <c r="I19">
        <f>H19*1.4</f>
        <v>49.22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12.6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29.999999999999993</v>
      </c>
      <c r="I23" s="59"/>
      <c r="J23" s="111"/>
      <c r="K23" s="114"/>
      <c r="L23" s="63"/>
      <c r="M23" s="62" t="s">
        <v>21</v>
      </c>
      <c r="N23" s="64">
        <f>H24+H23</f>
        <v>177.66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147.66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30634.39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2.7570950999999998E-3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2861-DABB-4D6D-8432-710074145CFC}">
  <sheetPr>
    <pageSetUpPr fitToPage="1"/>
  </sheetPr>
  <dimension ref="A1:O51"/>
  <sheetViews>
    <sheetView topLeftCell="B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5.7691999999999998E-6</v>
      </c>
      <c r="C3" s="11">
        <f>L7/1000000</f>
        <v>9.9999999999999995E-7</v>
      </c>
      <c r="D3" s="12">
        <f>C3*H1</f>
        <v>8.9999999999999999E-11</v>
      </c>
      <c r="E3" s="13">
        <f>1000000*(D3/B3)</f>
        <v>15.600083200443736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68.999916799556274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15.600083200443736</v>
      </c>
      <c r="I18" s="59">
        <f>H18*1.4</f>
        <v>21.84011648062123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26.699916799556263</v>
      </c>
      <c r="I19">
        <f>H19*1.4</f>
        <v>37.379883519378765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5.7691999999999997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65.520349441863686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112.1396505581363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42986.78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3.8688101999999999E-3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4FEE-093B-42C6-B74F-8BE25E23B495}">
  <sheetPr>
    <pageSetUpPr fitToPage="1"/>
  </sheetPr>
  <dimension ref="A1:O51"/>
  <sheetViews>
    <sheetView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8.4299000000000004E-6</v>
      </c>
      <c r="C3" s="11">
        <f>L7/1000000</f>
        <v>9.9999999999999995E-7</v>
      </c>
      <c r="D3" s="12">
        <f>C3*H1</f>
        <v>8.9999999999999999E-11</v>
      </c>
      <c r="E3" s="13">
        <f>1000000*(D3/B3)</f>
        <v>10.676283229931553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73.923716770068452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10.676283229931553</v>
      </c>
      <c r="I18" s="59">
        <f>H18*1.4</f>
        <v>14.946796521904172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31.623716770068445</v>
      </c>
      <c r="I19">
        <f>H19*1.4</f>
        <v>44.273203478095823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8.4298999999999999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44.840389565712513</v>
      </c>
      <c r="I23" s="59"/>
      <c r="J23" s="111"/>
      <c r="K23" s="114"/>
      <c r="L23" s="63"/>
      <c r="M23" s="62" t="s">
        <v>21</v>
      </c>
      <c r="N23" s="64">
        <f>H24+H23</f>
        <v>177.66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132.81961043428748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28232.74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2.5409466000000003E-3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customXml/itemProps3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AtPCO4</vt:lpstr>
      <vt:lpstr>Sml_PpPCO</vt:lpstr>
      <vt:lpstr>Lrg_PpPCO</vt:lpstr>
      <vt:lpstr>Lrg_FsPCO</vt:lpstr>
      <vt:lpstr>GcPCO</vt:lpstr>
      <vt:lpstr>PuPCO</vt:lpstr>
      <vt:lpstr>Sml_FsPCO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2026-02-20T09:48:03Z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