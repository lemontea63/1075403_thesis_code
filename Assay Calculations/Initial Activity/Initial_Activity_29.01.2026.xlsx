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Assay Calculations/GcPCO/"/>
    </mc:Choice>
  </mc:AlternateContent>
  <xr:revisionPtr revIDLastSave="31" documentId="8_{D947A53C-A922-4F66-AC7C-F3697C3D0392}" xr6:coauthVersionLast="47" xr6:coauthVersionMax="47" xr10:uidLastSave="{20EB13EB-ECBC-490C-AB8B-E49F16EE4B4A}"/>
  <bookViews>
    <workbookView xWindow="11424" yWindow="0" windowWidth="11712" windowHeight="13776" firstSheet="1" activeTab="1" xr2:uid="{DDCF3E13-D2E2-4E14-AB9E-6AA60CE09D32}"/>
  </bookViews>
  <sheets>
    <sheet name="Sml_PpPCO" sheetId="7" r:id="rId1"/>
    <sheet name="Lrg_PpPCO" sheetId="6" r:id="rId2"/>
    <sheet name="GcPCO" sheetId="5" r:id="rId3"/>
    <sheet name="PuPCO" sheetId="4" r:id="rId4"/>
    <sheet name="Sml_FsPCO" sheetId="3" r:id="rId5"/>
    <sheet name="Lrg_FsPCO" sheetId="1" r:id="rId6"/>
    <sheet name="Sheet1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9" i="7"/>
  <c r="B9" i="7"/>
  <c r="C7" i="7"/>
  <c r="B7" i="7"/>
  <c r="C6" i="7"/>
  <c r="B6" i="7"/>
  <c r="C5" i="7"/>
  <c r="B5" i="7"/>
  <c r="C4" i="7"/>
  <c r="B4" i="7"/>
  <c r="C3" i="7"/>
  <c r="B3" i="7"/>
  <c r="H1" i="7"/>
  <c r="C24" i="7" s="1"/>
  <c r="C9" i="6"/>
  <c r="B9" i="6"/>
  <c r="C7" i="6"/>
  <c r="B7" i="6"/>
  <c r="C6" i="6"/>
  <c r="B6" i="6"/>
  <c r="C5" i="6"/>
  <c r="B5" i="6"/>
  <c r="C4" i="6"/>
  <c r="B4" i="6"/>
  <c r="C3" i="6"/>
  <c r="B3" i="6"/>
  <c r="H1" i="6"/>
  <c r="D5" i="6" s="1"/>
  <c r="E5" i="6" s="1"/>
  <c r="M10" i="6" s="1"/>
  <c r="C9" i="5"/>
  <c r="D9" i="5" s="1"/>
  <c r="E9" i="5" s="1"/>
  <c r="B9" i="5"/>
  <c r="C7" i="5"/>
  <c r="D7" i="5" s="1"/>
  <c r="E7" i="5" s="1"/>
  <c r="M12" i="5" s="1"/>
  <c r="N12" i="5" s="1"/>
  <c r="B7" i="5"/>
  <c r="C6" i="5"/>
  <c r="D6" i="5" s="1"/>
  <c r="E6" i="5" s="1"/>
  <c r="H17" i="5" s="1"/>
  <c r="B6" i="5"/>
  <c r="C5" i="5"/>
  <c r="B5" i="5"/>
  <c r="C4" i="5"/>
  <c r="B4" i="5"/>
  <c r="C3" i="5"/>
  <c r="B3" i="5"/>
  <c r="H1" i="5"/>
  <c r="C24" i="5" s="1"/>
  <c r="C9" i="4"/>
  <c r="B9" i="4"/>
  <c r="C7" i="4"/>
  <c r="D7" i="4" s="1"/>
  <c r="E7" i="4" s="1"/>
  <c r="M12" i="4" s="1"/>
  <c r="N12" i="4" s="1"/>
  <c r="B7" i="4"/>
  <c r="C6" i="4"/>
  <c r="B6" i="4"/>
  <c r="C5" i="4"/>
  <c r="B5" i="4"/>
  <c r="C4" i="4"/>
  <c r="B4" i="4"/>
  <c r="C3" i="4"/>
  <c r="B3" i="4"/>
  <c r="H1" i="4"/>
  <c r="D4" i="4" s="1"/>
  <c r="E4" i="4" s="1"/>
  <c r="C9" i="3"/>
  <c r="B9" i="3"/>
  <c r="C7" i="3"/>
  <c r="B7" i="3"/>
  <c r="C6" i="3"/>
  <c r="D6" i="3" s="1"/>
  <c r="E6" i="3" s="1"/>
  <c r="H17" i="3" s="1"/>
  <c r="B6" i="3"/>
  <c r="C5" i="3"/>
  <c r="D5" i="3" s="1"/>
  <c r="E5" i="3" s="1"/>
  <c r="M10" i="3" s="1"/>
  <c r="B5" i="3"/>
  <c r="C4" i="3"/>
  <c r="B4" i="3"/>
  <c r="C3" i="3"/>
  <c r="C26" i="3" s="1"/>
  <c r="C27" i="3" s="1"/>
  <c r="B3" i="3"/>
  <c r="H1" i="3"/>
  <c r="D4" i="3" s="1"/>
  <c r="E4" i="3" s="1"/>
  <c r="C6" i="1"/>
  <c r="C9" i="1"/>
  <c r="B9" i="1"/>
  <c r="C7" i="1"/>
  <c r="B7" i="1"/>
  <c r="B6" i="1"/>
  <c r="C5" i="1"/>
  <c r="B5" i="1"/>
  <c r="C4" i="1"/>
  <c r="B4" i="1"/>
  <c r="C3" i="1"/>
  <c r="B3" i="1"/>
  <c r="H1" i="1"/>
  <c r="D9" i="1" s="1"/>
  <c r="D7" i="3" l="1"/>
  <c r="E7" i="3" s="1"/>
  <c r="M12" i="3" s="1"/>
  <c r="N12" i="3" s="1"/>
  <c r="D9" i="3"/>
  <c r="E9" i="3" s="1"/>
  <c r="D9" i="4"/>
  <c r="E9" i="4" s="1"/>
  <c r="D5" i="4"/>
  <c r="E5" i="4" s="1"/>
  <c r="M10" i="4" s="1"/>
  <c r="D6" i="4"/>
  <c r="E6" i="4" s="1"/>
  <c r="H17" i="4" s="1"/>
  <c r="D3" i="4"/>
  <c r="E3" i="4" s="1"/>
  <c r="D4" i="5"/>
  <c r="E4" i="5" s="1"/>
  <c r="C26" i="5"/>
  <c r="D5" i="5"/>
  <c r="E5" i="5" s="1"/>
  <c r="M10" i="5" s="1"/>
  <c r="M13" i="5" s="1"/>
  <c r="N13" i="5" s="1"/>
  <c r="D9" i="6"/>
  <c r="E9" i="6" s="1"/>
  <c r="M13" i="6" s="1"/>
  <c r="N13" i="6" s="1"/>
  <c r="D7" i="6"/>
  <c r="E7" i="6" s="1"/>
  <c r="M12" i="6" s="1"/>
  <c r="N12" i="6" s="1"/>
  <c r="C26" i="6"/>
  <c r="D4" i="6"/>
  <c r="E4" i="6" s="1"/>
  <c r="D6" i="6"/>
  <c r="E6" i="6" s="1"/>
  <c r="H17" i="6" s="1"/>
  <c r="D7" i="7"/>
  <c r="E7" i="7" s="1"/>
  <c r="M12" i="7" s="1"/>
  <c r="N12" i="7" s="1"/>
  <c r="D6" i="7"/>
  <c r="E6" i="7" s="1"/>
  <c r="H17" i="7" s="1"/>
  <c r="C26" i="7"/>
  <c r="D4" i="7"/>
  <c r="E4" i="7" s="1"/>
  <c r="D5" i="7"/>
  <c r="E5" i="7" s="1"/>
  <c r="M10" i="7" s="1"/>
  <c r="D9" i="7"/>
  <c r="E9" i="7" s="1"/>
  <c r="H10" i="7" s="1"/>
  <c r="J10" i="7" s="1"/>
  <c r="M15" i="7"/>
  <c r="N15" i="7" s="1"/>
  <c r="M13" i="7"/>
  <c r="N13" i="7" s="1"/>
  <c r="M14" i="7"/>
  <c r="M16" i="7" s="1"/>
  <c r="N10" i="7"/>
  <c r="N14" i="7" s="1"/>
  <c r="N16" i="7" s="1"/>
  <c r="H22" i="7"/>
  <c r="I17" i="7"/>
  <c r="D3" i="7"/>
  <c r="E3" i="7" s="1"/>
  <c r="H18" i="7" s="1"/>
  <c r="N10" i="6"/>
  <c r="M15" i="6"/>
  <c r="N15" i="6" s="1"/>
  <c r="H22" i="6"/>
  <c r="I17" i="6"/>
  <c r="C24" i="6"/>
  <c r="D3" i="6"/>
  <c r="E3" i="6" s="1"/>
  <c r="H18" i="6" s="1"/>
  <c r="H22" i="5"/>
  <c r="I17" i="5"/>
  <c r="N10" i="5"/>
  <c r="H10" i="5"/>
  <c r="J10" i="5" s="1"/>
  <c r="M15" i="5"/>
  <c r="N15" i="5" s="1"/>
  <c r="D3" i="5"/>
  <c r="E3" i="5" s="1"/>
  <c r="H18" i="5" s="1"/>
  <c r="M15" i="4"/>
  <c r="N15" i="4" s="1"/>
  <c r="M13" i="4"/>
  <c r="N13" i="4" s="1"/>
  <c r="H10" i="4"/>
  <c r="J10" i="4" s="1"/>
  <c r="N10" i="4"/>
  <c r="N14" i="4" s="1"/>
  <c r="N16" i="4" s="1"/>
  <c r="H22" i="4"/>
  <c r="I17" i="4"/>
  <c r="C24" i="4"/>
  <c r="C26" i="4"/>
  <c r="C27" i="4" s="1"/>
  <c r="H10" i="3"/>
  <c r="J10" i="3" s="1"/>
  <c r="M15" i="3"/>
  <c r="N15" i="3" s="1"/>
  <c r="M13" i="3"/>
  <c r="N13" i="3" s="1"/>
  <c r="N10" i="3"/>
  <c r="N14" i="3" s="1"/>
  <c r="N16" i="3" s="1"/>
  <c r="I17" i="3"/>
  <c r="H22" i="3"/>
  <c r="D3" i="3"/>
  <c r="E3" i="3" s="1"/>
  <c r="H18" i="3" s="1"/>
  <c r="C24" i="3"/>
  <c r="C24" i="1"/>
  <c r="D7" i="1"/>
  <c r="C26" i="1"/>
  <c r="C27" i="1" s="1"/>
  <c r="D6" i="1"/>
  <c r="E6" i="1"/>
  <c r="H17" i="1" s="1"/>
  <c r="E7" i="1"/>
  <c r="M12" i="1" s="1"/>
  <c r="N12" i="1" s="1"/>
  <c r="E9" i="1"/>
  <c r="D5" i="1"/>
  <c r="E5" i="1" s="1"/>
  <c r="M10" i="1" s="1"/>
  <c r="N10" i="1" s="1"/>
  <c r="D3" i="1"/>
  <c r="E3" i="1" s="1"/>
  <c r="H18" i="1" s="1"/>
  <c r="D4" i="1"/>
  <c r="E4" i="1" s="1"/>
  <c r="M14" i="3" l="1"/>
  <c r="M16" i="3" s="1"/>
  <c r="H18" i="4"/>
  <c r="E8" i="4"/>
  <c r="M14" i="4"/>
  <c r="M16" i="4" s="1"/>
  <c r="H10" i="6"/>
  <c r="J10" i="6" s="1"/>
  <c r="E8" i="7"/>
  <c r="I18" i="1"/>
  <c r="H23" i="1"/>
  <c r="H22" i="1"/>
  <c r="I17" i="1"/>
  <c r="H23" i="7"/>
  <c r="I18" i="7"/>
  <c r="N22" i="7"/>
  <c r="H19" i="7"/>
  <c r="H23" i="6"/>
  <c r="I18" i="6"/>
  <c r="N22" i="6"/>
  <c r="H19" i="6"/>
  <c r="H20" i="6" s="1"/>
  <c r="M14" i="6"/>
  <c r="M16" i="6" s="1"/>
  <c r="E8" i="6"/>
  <c r="N14" i="6"/>
  <c r="N16" i="6" s="1"/>
  <c r="N22" i="5"/>
  <c r="I18" i="5"/>
  <c r="H23" i="5"/>
  <c r="M14" i="5"/>
  <c r="M16" i="5" s="1"/>
  <c r="H19" i="5"/>
  <c r="N14" i="5"/>
  <c r="N16" i="5" s="1"/>
  <c r="E8" i="5"/>
  <c r="H20" i="5"/>
  <c r="N22" i="4"/>
  <c r="I18" i="3"/>
  <c r="H23" i="3"/>
  <c r="E8" i="3"/>
  <c r="N22" i="3"/>
  <c r="H19" i="3"/>
  <c r="N22" i="1"/>
  <c r="M15" i="1"/>
  <c r="N15" i="1" s="1"/>
  <c r="M13" i="1"/>
  <c r="N13" i="1" s="1"/>
  <c r="H10" i="1"/>
  <c r="J10" i="1" s="1"/>
  <c r="E8" i="1"/>
  <c r="H19" i="1"/>
  <c r="I18" i="4" l="1"/>
  <c r="H19" i="4"/>
  <c r="H23" i="4"/>
  <c r="I19" i="1"/>
  <c r="H24" i="1"/>
  <c r="I20" i="1"/>
  <c r="H24" i="7"/>
  <c r="I19" i="7"/>
  <c r="I20" i="7" s="1"/>
  <c r="H20" i="7"/>
  <c r="I19" i="6"/>
  <c r="I20" i="6" s="1"/>
  <c r="H24" i="6"/>
  <c r="I19" i="5"/>
  <c r="I20" i="5" s="1"/>
  <c r="H24" i="5"/>
  <c r="H24" i="3"/>
  <c r="I19" i="3"/>
  <c r="I20" i="3" s="1"/>
  <c r="H20" i="3"/>
  <c r="N23" i="1"/>
  <c r="N14" i="1"/>
  <c r="N16" i="1" s="1"/>
  <c r="M14" i="1"/>
  <c r="M16" i="1" s="1"/>
  <c r="H20" i="1"/>
  <c r="H24" i="4" l="1"/>
  <c r="N23" i="4" s="1"/>
  <c r="I19" i="4"/>
  <c r="I20" i="4" s="1"/>
  <c r="H20" i="4"/>
  <c r="N23" i="7"/>
  <c r="H25" i="7"/>
  <c r="N23" i="6"/>
  <c r="H25" i="6"/>
  <c r="N23" i="5"/>
  <c r="H25" i="5"/>
  <c r="N23" i="3"/>
  <c r="H25" i="3"/>
  <c r="H25" i="1"/>
  <c r="H25" i="4" l="1"/>
</calcChain>
</file>

<file path=xl/sharedStrings.xml><?xml version="1.0" encoding="utf-8"?>
<sst xmlns="http://schemas.openxmlformats.org/spreadsheetml/2006/main" count="865" uniqueCount="89">
  <si>
    <t>Reagent</t>
  </si>
  <si>
    <t>Stock Conc (M)</t>
  </si>
  <si>
    <t>Rxn Conc (M)</t>
  </si>
  <si>
    <t>Moles Needed per rxn</t>
  </si>
  <si>
    <t>Volume per rxn (uL)</t>
  </si>
  <si>
    <t>Total Rxn Volume (dm3)</t>
  </si>
  <si>
    <t>Total Rxn Volume (uL)</t>
  </si>
  <si>
    <t>Enzyme</t>
  </si>
  <si>
    <t>Substrate</t>
  </si>
  <si>
    <t>n</t>
  </si>
  <si>
    <t>No Enz controls</t>
  </si>
  <si>
    <t>&lt;- These two are generally the same</t>
  </si>
  <si>
    <t>TCEP</t>
  </si>
  <si>
    <t>Substrates being tested</t>
  </si>
  <si>
    <t>Protein Batches</t>
  </si>
  <si>
    <t>FeSO4</t>
  </si>
  <si>
    <t xml:space="preserve">Total rxns </t>
  </si>
  <si>
    <t>Ascorbate</t>
  </si>
  <si>
    <t>Inhibitor Conc (mM)</t>
  </si>
  <si>
    <t>Enzyme Concentration (uM)</t>
  </si>
  <si>
    <t>Substrate Conc (uM)</t>
  </si>
  <si>
    <t>Buffer</t>
  </si>
  <si>
    <t>Inhibitor</t>
  </si>
  <si>
    <t>per rxn (uL)</t>
  </si>
  <si>
    <t>MM (uL)</t>
  </si>
  <si>
    <t>Master Mix Needed</t>
  </si>
  <si>
    <t>Make:</t>
  </si>
  <si>
    <t>MM1 is TCEP, Ascorbate, Substrate and Buffer</t>
  </si>
  <si>
    <t>Cofactors</t>
  </si>
  <si>
    <t>Stock Conc</t>
  </si>
  <si>
    <t>Rxn Conc</t>
  </si>
  <si>
    <t>Substrate Stock Conc (mM)</t>
  </si>
  <si>
    <t>TCEP (mM)</t>
  </si>
  <si>
    <t>Total</t>
  </si>
  <si>
    <t>FeSO4 (uM)</t>
  </si>
  <si>
    <t>Ascorbate (mM)</t>
  </si>
  <si>
    <t>uL needed</t>
  </si>
  <si>
    <t>make</t>
  </si>
  <si>
    <t>Total (with Substrate)</t>
  </si>
  <si>
    <t>FeSO4 per rxn</t>
  </si>
  <si>
    <r>
      <t xml:space="preserve">Protocol: Heat thermomixed to desired temperature and put reaction plate in. Add </t>
    </r>
    <r>
      <rPr>
        <b/>
        <sz val="8"/>
        <color theme="1"/>
        <rFont val="Calibri"/>
        <family val="2"/>
        <scheme val="minor"/>
      </rPr>
      <t>17.5</t>
    </r>
    <r>
      <rPr>
        <sz val="8"/>
        <color theme="1"/>
        <rFont val="Calibri"/>
        <family val="2"/>
        <scheme val="minor"/>
      </rPr>
      <t xml:space="preserve"> uL MM1 to A2,B2, C2, D2, E2, F2.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MM0 to A1, B1, C1. Add </t>
    </r>
    <r>
      <rPr>
        <b/>
        <sz val="8"/>
        <color theme="1"/>
        <rFont val="Calibri"/>
        <family val="2"/>
        <scheme val="minor"/>
      </rPr>
      <t>19</t>
    </r>
    <r>
      <rPr>
        <sz val="8"/>
        <color theme="1"/>
        <rFont val="Calibri"/>
        <family val="2"/>
        <scheme val="minor"/>
      </rPr>
      <t xml:space="preserve"> uL EM to D1, E1, F1. Start timer for pre-incubation. When pre-incubation time is almost up take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A1-F1 and add to A1-F1 in quench plate. Add </t>
    </r>
    <r>
      <rPr>
        <b/>
        <sz val="8"/>
        <color theme="1"/>
        <rFont val="Calibri"/>
        <family val="2"/>
        <scheme val="minor"/>
      </rPr>
      <t>2.5</t>
    </r>
    <r>
      <rPr>
        <sz val="8"/>
        <color theme="1"/>
        <rFont val="Calibri"/>
        <family val="2"/>
        <scheme val="minor"/>
      </rPr>
      <t xml:space="preserve"> uL from wells A2-F2 to wells A1-F1 in quench plate. Stop and reset timer ready for assay. Add </t>
    </r>
    <r>
      <rPr>
        <b/>
        <sz val="8"/>
        <color theme="1"/>
        <rFont val="Calibri"/>
        <family val="2"/>
        <scheme val="minor"/>
      </rPr>
      <t>15</t>
    </r>
    <r>
      <rPr>
        <sz val="8"/>
        <color theme="1"/>
        <rFont val="Calibri"/>
        <family val="2"/>
        <scheme val="minor"/>
      </rPr>
      <t xml:space="preserve"> uL from wells A1-F1 to wells A2-F2 in reaction plate and mix by pipetting up and down 6-7 times. Start timer. At first time point take 5 uL from wells A2-F2 in reaction plate and add to wells A2-F2 in quench plate. Repeat for other time points using the appropriate column on the quench plate. </t>
    </r>
  </si>
  <si>
    <t>Enz per rxn</t>
  </si>
  <si>
    <t xml:space="preserve">Buffer per rxn </t>
  </si>
  <si>
    <t>EM</t>
  </si>
  <si>
    <t>Enzyme Stock Concentration (uM):</t>
  </si>
  <si>
    <t>MM0</t>
  </si>
  <si>
    <t>umols substrate per reaction:</t>
  </si>
  <si>
    <t>Needed to calculate turnover later</t>
  </si>
  <si>
    <t>MW enzyme (Da):</t>
  </si>
  <si>
    <t>MW</t>
  </si>
  <si>
    <t>EM is FeSO4, enzyme and buffer</t>
  </si>
  <si>
    <t>moles enzyme per reaction:</t>
  </si>
  <si>
    <t>PCO4</t>
  </si>
  <si>
    <t>mg enzyme per reaction:</t>
  </si>
  <si>
    <t>PCO5</t>
  </si>
  <si>
    <t>A</t>
  </si>
  <si>
    <t>MM1</t>
  </si>
  <si>
    <t>No enzyme controls</t>
  </si>
  <si>
    <t>n=1</t>
  </si>
  <si>
    <t>B</t>
  </si>
  <si>
    <t>n=2</t>
  </si>
  <si>
    <t>C</t>
  </si>
  <si>
    <t>n=3</t>
  </si>
  <si>
    <t>D</t>
  </si>
  <si>
    <t>Reaction wells</t>
  </si>
  <si>
    <t>E</t>
  </si>
  <si>
    <t>F</t>
  </si>
  <si>
    <t>G</t>
  </si>
  <si>
    <t>Quench Plate</t>
  </si>
  <si>
    <t>Time Point:</t>
  </si>
  <si>
    <t>0 time point</t>
  </si>
  <si>
    <t xml:space="preserve">time point 1 </t>
  </si>
  <si>
    <t>time point 2</t>
  </si>
  <si>
    <t>time point 3</t>
  </si>
  <si>
    <t>time point 4</t>
  </si>
  <si>
    <t>No Enz 1</t>
  </si>
  <si>
    <t>No Enz 2</t>
  </si>
  <si>
    <t>No Enz 3</t>
  </si>
  <si>
    <t>Reaction 1</t>
  </si>
  <si>
    <t>Reaction 2</t>
  </si>
  <si>
    <t>Reaction 3</t>
  </si>
  <si>
    <t>H</t>
  </si>
  <si>
    <t xml:space="preserve">All wells in use should have 45 uL of formic acid quench solution </t>
  </si>
  <si>
    <t>Reaction Plate - On Thermomixer</t>
  </si>
  <si>
    <t>NOTE: Originally make column was vol*1.2</t>
  </si>
  <si>
    <t>I had issues with volume of EM/MM0</t>
  </si>
  <si>
    <t>so did *1.4</t>
  </si>
  <si>
    <t>NOTE: Originally make column was vol*1.2 but I had issues with volume of mastermixes, so did *1.4 instead</t>
  </si>
  <si>
    <t>29.01 - 90uL as doing 13 timepoints, not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</si>
</sst>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2" fillId="0" borderId="1" xfId="0" applyFont="1" applyBorder="1"/>
    <xf numFmtId="11" fontId="2" fillId="0" borderId="1" xfId="0" applyNumberFormat="1" applyFont="1" applyBorder="1"/>
    <xf numFmtId="11" fontId="0" fillId="2" borderId="0" xfId="0" applyNumberFormat="1" applyFill="1"/>
    <xf numFmtId="0" fontId="0" fillId="2" borderId="0" xfId="0" applyFill="1"/>
    <xf numFmtId="0" fontId="0" fillId="0" borderId="1" xfId="0" applyBorder="1"/>
    <xf numFmtId="11" fontId="0" fillId="0" borderId="2" xfId="0" applyNumberFormat="1" applyBorder="1"/>
    <xf numFmtId="11" fontId="0" fillId="0" borderId="1" xfId="0" applyNumberFormat="1" applyBorder="1"/>
    <xf numFmtId="0" fontId="0" fillId="0" borderId="3" xfId="0" applyBorder="1"/>
    <xf numFmtId="0" fontId="2" fillId="3" borderId="4" xfId="0" applyFont="1" applyFill="1" applyBorder="1"/>
    <xf numFmtId="11" fontId="4" fillId="4" borderId="1" xfId="0" applyNumberFormat="1" applyFont="1" applyFill="1" applyBorder="1"/>
    <xf numFmtId="11" fontId="4" fillId="3" borderId="5" xfId="0" applyNumberFormat="1" applyFont="1" applyFill="1" applyBorder="1"/>
    <xf numFmtId="11" fontId="0" fillId="3" borderId="1" xfId="0" applyNumberFormat="1" applyFill="1" applyBorder="1"/>
    <xf numFmtId="164" fontId="0" fillId="3" borderId="1" xfId="0" applyNumberFormat="1" applyFill="1" applyBorder="1"/>
    <xf numFmtId="0" fontId="2" fillId="5" borderId="4" xfId="0" applyFont="1" applyFill="1" applyBorder="1"/>
    <xf numFmtId="11" fontId="4" fillId="5" borderId="5" xfId="0" applyNumberFormat="1" applyFont="1" applyFill="1" applyBorder="1"/>
    <xf numFmtId="11" fontId="0" fillId="5" borderId="1" xfId="0" applyNumberFormat="1" applyFill="1" applyBorder="1"/>
    <xf numFmtId="164" fontId="0" fillId="5" borderId="1" xfId="0" applyNumberFormat="1" applyFill="1" applyBorder="1"/>
    <xf numFmtId="0" fontId="1" fillId="0" borderId="6" xfId="0" applyFont="1" applyBorder="1"/>
    <xf numFmtId="0" fontId="0" fillId="0" borderId="2" xfId="0" applyBorder="1"/>
    <xf numFmtId="0" fontId="2" fillId="6" borderId="4" xfId="0" applyFont="1" applyFill="1" applyBorder="1"/>
    <xf numFmtId="11" fontId="4" fillId="6" borderId="5" xfId="0" applyNumberFormat="1" applyFont="1" applyFill="1" applyBorder="1"/>
    <xf numFmtId="11" fontId="0" fillId="6" borderId="1" xfId="0" applyNumberFormat="1" applyFill="1" applyBorder="1"/>
    <xf numFmtId="164" fontId="0" fillId="6" borderId="1" xfId="0" applyNumberFormat="1" applyFill="1" applyBorder="1"/>
    <xf numFmtId="0" fontId="1" fillId="0" borderId="7" xfId="0" applyFont="1" applyBorder="1"/>
    <xf numFmtId="0" fontId="2" fillId="6" borderId="8" xfId="0" applyFont="1" applyFill="1" applyBorder="1"/>
    <xf numFmtId="11" fontId="4" fillId="6" borderId="9" xfId="0" applyNumberFormat="1" applyFont="1" applyFill="1" applyBorder="1"/>
    <xf numFmtId="11" fontId="0" fillId="6" borderId="2" xfId="0" applyNumberFormat="1" applyFill="1" applyBorder="1"/>
    <xf numFmtId="164" fontId="0" fillId="6" borderId="2" xfId="0" applyNumberFormat="1" applyFill="1" applyBorder="1"/>
    <xf numFmtId="0" fontId="0" fillId="7" borderId="3" xfId="0" applyFill="1" applyBorder="1"/>
    <xf numFmtId="0" fontId="1" fillId="7" borderId="12" xfId="0" applyFont="1" applyFill="1" applyBorder="1"/>
    <xf numFmtId="165" fontId="1" fillId="0" borderId="13" xfId="0" applyNumberFormat="1" applyFont="1" applyBorder="1"/>
    <xf numFmtId="0" fontId="2" fillId="8" borderId="1" xfId="0" applyFont="1" applyFill="1" applyBorder="1"/>
    <xf numFmtId="11" fontId="0" fillId="8" borderId="14" xfId="0" applyNumberFormat="1" applyFill="1" applyBorder="1"/>
    <xf numFmtId="11" fontId="0" fillId="8" borderId="1" xfId="0" applyNumberFormat="1" applyFill="1" applyBorder="1"/>
    <xf numFmtId="2" fontId="0" fillId="8" borderId="1" xfId="0" applyNumberFormat="1" applyFill="1" applyBorder="1"/>
    <xf numFmtId="0" fontId="2" fillId="7" borderId="15" xfId="0" applyFont="1" applyFill="1" applyBorder="1"/>
    <xf numFmtId="11" fontId="4" fillId="7" borderId="1" xfId="0" applyNumberFormat="1" applyFont="1" applyFill="1" applyBorder="1"/>
    <xf numFmtId="11" fontId="0" fillId="7" borderId="16" xfId="0" applyNumberFormat="1" applyFill="1" applyBorder="1"/>
    <xf numFmtId="11" fontId="0" fillId="7" borderId="14" xfId="0" applyNumberFormat="1" applyFill="1" applyBorder="1"/>
    <xf numFmtId="164" fontId="0" fillId="7" borderId="14" xfId="0" applyNumberFormat="1" applyFill="1" applyBorder="1"/>
    <xf numFmtId="11" fontId="0" fillId="0" borderId="0" xfId="0" applyNumberFormat="1"/>
    <xf numFmtId="1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2" fillId="0" borderId="17" xfId="0" applyFont="1" applyBorder="1"/>
    <xf numFmtId="11" fontId="2" fillId="0" borderId="18" xfId="0" applyNumberFormat="1" applyFont="1" applyBorder="1"/>
    <xf numFmtId="11" fontId="2" fillId="0" borderId="19" xfId="0" applyNumberFormat="1" applyFont="1" applyBorder="1"/>
    <xf numFmtId="11" fontId="0" fillId="0" borderId="10" xfId="0" applyNumberFormat="1" applyBorder="1"/>
    <xf numFmtId="1" fontId="1" fillId="9" borderId="13" xfId="0" applyNumberFormat="1" applyFont="1" applyFill="1" applyBorder="1"/>
    <xf numFmtId="0" fontId="2" fillId="6" borderId="22" xfId="0" applyFont="1" applyFill="1" applyBorder="1"/>
    <xf numFmtId="1" fontId="1" fillId="0" borderId="23" xfId="0" applyNumberFormat="1" applyFont="1" applyBorder="1"/>
    <xf numFmtId="1" fontId="1" fillId="0" borderId="24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" fillId="7" borderId="24" xfId="0" applyNumberFormat="1" applyFont="1" applyFill="1" applyBorder="1" applyAlignment="1">
      <alignment vertical="center"/>
    </xf>
    <xf numFmtId="0" fontId="2" fillId="9" borderId="1" xfId="0" applyFont="1" applyFill="1" applyBorder="1"/>
    <xf numFmtId="0" fontId="2" fillId="6" borderId="25" xfId="0" applyFont="1" applyFill="1" applyBorder="1"/>
    <xf numFmtId="1" fontId="1" fillId="0" borderId="26" xfId="0" applyNumberFormat="1" applyFont="1" applyBorder="1"/>
    <xf numFmtId="1" fontId="1" fillId="0" borderId="27" xfId="0" applyNumberFormat="1" applyFont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2" fillId="3" borderId="1" xfId="0" applyFont="1" applyFill="1" applyBorder="1"/>
    <xf numFmtId="0" fontId="0" fillId="3" borderId="1" xfId="0" applyFill="1" applyBorder="1"/>
    <xf numFmtId="0" fontId="0" fillId="0" borderId="0" xfId="0" applyAlignment="1">
      <alignment vertical="center" wrapText="1"/>
    </xf>
    <xf numFmtId="2" fontId="2" fillId="3" borderId="1" xfId="0" applyNumberFormat="1" applyFont="1" applyFill="1" applyBorder="1"/>
    <xf numFmtId="11" fontId="7" fillId="0" borderId="1" xfId="0" applyNumberFormat="1" applyFont="1" applyBorder="1" applyAlignment="1">
      <alignment vertical="center"/>
    </xf>
    <xf numFmtId="11" fontId="1" fillId="0" borderId="1" xfId="0" applyNumberFormat="1" applyFont="1" applyBorder="1"/>
    <xf numFmtId="11" fontId="0" fillId="10" borderId="1" xfId="0" applyNumberFormat="1" applyFill="1" applyBorder="1"/>
    <xf numFmtId="0" fontId="0" fillId="10" borderId="1" xfId="0" applyFill="1" applyBorder="1"/>
    <xf numFmtId="0" fontId="0" fillId="3" borderId="5" xfId="0" applyFill="1" applyBorder="1"/>
    <xf numFmtId="2" fontId="0" fillId="3" borderId="1" xfId="0" applyNumberFormat="1" applyFill="1" applyBorder="1"/>
    <xf numFmtId="11" fontId="7" fillId="0" borderId="1" xfId="0" applyNumberFormat="1" applyFon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6" borderId="1" xfId="0" applyFill="1" applyBorder="1"/>
    <xf numFmtId="0" fontId="0" fillId="4" borderId="1" xfId="0" applyFill="1" applyBorder="1"/>
    <xf numFmtId="0" fontId="0" fillId="0" borderId="36" xfId="0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28" xfId="0" applyBorder="1" applyAlignment="1">
      <alignment wrapText="1"/>
    </xf>
    <xf numFmtId="0" fontId="0" fillId="4" borderId="28" xfId="0" applyFill="1" applyBorder="1" applyAlignment="1">
      <alignment wrapText="1"/>
    </xf>
    <xf numFmtId="0" fontId="0" fillId="0" borderId="4" xfId="0" applyBorder="1" applyAlignment="1">
      <alignment wrapText="1"/>
    </xf>
    <xf numFmtId="0" fontId="11" fillId="0" borderId="1" xfId="0" applyFont="1" applyBorder="1"/>
    <xf numFmtId="0" fontId="0" fillId="11" borderId="1" xfId="0" applyFill="1" applyBorder="1"/>
    <xf numFmtId="0" fontId="0" fillId="4" borderId="4" xfId="0" applyFill="1" applyBorder="1" applyAlignment="1">
      <alignment wrapText="1"/>
    </xf>
    <xf numFmtId="0" fontId="0" fillId="0" borderId="4" xfId="0" applyBorder="1"/>
    <xf numFmtId="0" fontId="11" fillId="0" borderId="1" xfId="0" applyFont="1" applyBorder="1" applyAlignment="1">
      <alignment wrapText="1"/>
    </xf>
    <xf numFmtId="0" fontId="4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5" xfId="0" applyFill="1" applyBorder="1" applyAlignment="1">
      <alignment horizontal="center" wrapText="1"/>
    </xf>
    <xf numFmtId="0" fontId="0" fillId="7" borderId="35" xfId="0" applyFill="1" applyBorder="1" applyAlignment="1">
      <alignment horizontal="center" wrapText="1"/>
    </xf>
    <xf numFmtId="0" fontId="0" fillId="7" borderId="16" xfId="0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left" wrapText="1"/>
    </xf>
    <xf numFmtId="1" fontId="0" fillId="0" borderId="2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4F-19EB-46D7-B8D6-EDADFF4934B8}">
  <sheetPr>
    <pageSetUpPr fitToPage="1"/>
  </sheetPr>
  <dimension ref="A1:O51"/>
  <sheetViews>
    <sheetView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9"/>
      <c r="K2" s="119"/>
    </row>
    <row r="3" spans="1:15" ht="15" thickBot="1" x14ac:dyDescent="0.35">
      <c r="A3" s="9" t="s">
        <v>7</v>
      </c>
      <c r="B3" s="10">
        <f>K21/1000000</f>
        <v>1.0679899999999999E-5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8.4270451970524078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76.172954802947586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45</v>
      </c>
      <c r="N16" s="110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8.4270451970524078</v>
      </c>
      <c r="I18" s="59">
        <f>H18*1.4</f>
        <v>11.79786327587337</v>
      </c>
      <c r="J18" t="s">
        <v>85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33.872954802947589</v>
      </c>
      <c r="I19">
        <f>H19*1.4</f>
        <v>47.422136724126624</v>
      </c>
      <c r="J19" t="s">
        <v>86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10.6799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1.4*H17*($H$5*$H$4)</f>
        <v>11.34</v>
      </c>
      <c r="I22" s="59"/>
      <c r="J22" s="113"/>
      <c r="K22" s="116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35.393589827620112</v>
      </c>
      <c r="I23" s="59"/>
      <c r="J23" s="114"/>
      <c r="K23" s="117"/>
      <c r="L23" s="63"/>
      <c r="M23" s="62" t="s">
        <v>21</v>
      </c>
      <c r="N23" s="64">
        <f>H24+H23</f>
        <v>177.65999999999997</v>
      </c>
    </row>
    <row r="24" spans="1:14" x14ac:dyDescent="0.3">
      <c r="A24" s="101" t="s">
        <v>46</v>
      </c>
      <c r="B24" s="101"/>
      <c r="C24" s="65">
        <f>(C4*H1)*1000000</f>
        <v>9.0000000000000011E-3</v>
      </c>
      <c r="D24" s="102" t="s">
        <v>47</v>
      </c>
      <c r="E24" s="53"/>
      <c r="G24" s="62" t="s">
        <v>21</v>
      </c>
      <c r="H24" s="64">
        <f>1.4*H19*($H$5*$H$4)</f>
        <v>142.26641017237986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29120.07</v>
      </c>
      <c r="D25" s="102"/>
      <c r="E25" s="67"/>
      <c r="F25" s="68" t="s">
        <v>49</v>
      </c>
      <c r="G25" s="69" t="s">
        <v>33</v>
      </c>
      <c r="H25" s="70">
        <f>SUM(H22:H24)</f>
        <v>188.99999999999997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8.9999999999999999E-11</v>
      </c>
      <c r="D26" s="102"/>
      <c r="E26" s="67" t="s">
        <v>52</v>
      </c>
      <c r="F26" s="68">
        <v>29346</v>
      </c>
      <c r="I26" t="s">
        <v>87</v>
      </c>
    </row>
    <row r="27" spans="1:14" x14ac:dyDescent="0.3">
      <c r="A27" s="103" t="s">
        <v>53</v>
      </c>
      <c r="B27" s="103"/>
      <c r="C27" s="71">
        <v>2.6208062999999999E-3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0C19-68B7-4F3E-BC21-B4B648BCA774}">
  <sheetPr>
    <pageSetUpPr fitToPage="1"/>
  </sheetPr>
  <dimension ref="A1:O51"/>
  <sheetViews>
    <sheetView tabSelected="1"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9"/>
      <c r="K2" s="119"/>
    </row>
    <row r="3" spans="1:15" ht="15" thickBot="1" x14ac:dyDescent="0.35">
      <c r="A3" s="9" t="s">
        <v>7</v>
      </c>
      <c r="B3" s="10">
        <f>K21/1000000</f>
        <v>1.08516E-5</v>
      </c>
      <c r="C3" s="11">
        <f>L7/1000000</f>
        <v>9.9999999999999995E-7</v>
      </c>
      <c r="D3" s="12">
        <f>C3*H1</f>
        <v>8.9999999999999999E-11</v>
      </c>
      <c r="E3" s="13">
        <f>1000000*(D3/B3)</f>
        <v>8.2937078403184792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76.306292159681519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45</v>
      </c>
      <c r="N16" s="110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8.2937078403184792</v>
      </c>
      <c r="I18" s="59">
        <f>H18*1.4</f>
        <v>11.611190976445871</v>
      </c>
      <c r="J18" t="s">
        <v>85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34.006292159681522</v>
      </c>
      <c r="I19">
        <f>H19*1.4</f>
        <v>47.60880902355413</v>
      </c>
      <c r="J19" t="s">
        <v>86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10.851599999999999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1.4*H17*($H$5*$H$4)</f>
        <v>11.34</v>
      </c>
      <c r="I22" s="59"/>
      <c r="J22" s="113"/>
      <c r="K22" s="116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34.833572929337613</v>
      </c>
      <c r="I23" s="59"/>
      <c r="J23" s="114"/>
      <c r="K23" s="117"/>
      <c r="L23" s="63"/>
      <c r="M23" s="62" t="s">
        <v>21</v>
      </c>
      <c r="N23" s="64">
        <f>H24+H23</f>
        <v>177.66</v>
      </c>
    </row>
    <row r="24" spans="1:14" x14ac:dyDescent="0.3">
      <c r="A24" s="101" t="s">
        <v>46</v>
      </c>
      <c r="B24" s="101"/>
      <c r="C24" s="65">
        <f>(C4*H1)*1000000</f>
        <v>9.0000000000000011E-3</v>
      </c>
      <c r="D24" s="102" t="s">
        <v>47</v>
      </c>
      <c r="E24" s="53"/>
      <c r="G24" s="62" t="s">
        <v>21</v>
      </c>
      <c r="H24" s="64">
        <f>1.4*H19*($H$5*$H$4)</f>
        <v>142.82642707066239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29120.07</v>
      </c>
      <c r="D25" s="102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8.9999999999999999E-11</v>
      </c>
      <c r="D26" s="102"/>
      <c r="E26" s="67" t="s">
        <v>52</v>
      </c>
      <c r="F26" s="68">
        <v>29346</v>
      </c>
      <c r="I26" t="s">
        <v>87</v>
      </c>
    </row>
    <row r="27" spans="1:14" x14ac:dyDescent="0.3">
      <c r="A27" s="103" t="s">
        <v>53</v>
      </c>
      <c r="B27" s="103"/>
      <c r="C27" s="71">
        <v>2.6208062999999999E-3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234-2D04-4159-AAD7-CA8A2FEFDD09}">
  <sheetPr>
    <pageSetUpPr fitToPage="1"/>
  </sheetPr>
  <dimension ref="A1:O51"/>
  <sheetViews>
    <sheetView zoomScale="91" zoomScaleNormal="52" workbookViewId="0">
      <selection activeCell="C27" sqref="C27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9"/>
      <c r="K2" s="119"/>
    </row>
    <row r="3" spans="1:15" ht="15" thickBot="1" x14ac:dyDescent="0.35">
      <c r="A3" s="9" t="s">
        <v>7</v>
      </c>
      <c r="B3" s="10">
        <f>K21/1000000</f>
        <v>8.7810000000000011E-6</v>
      </c>
      <c r="C3" s="11">
        <f>L7/1000000</f>
        <v>9.9999999999999995E-7</v>
      </c>
      <c r="D3" s="12">
        <f>C3*H1</f>
        <v>8.9999999999999999E-11</v>
      </c>
      <c r="E3" s="13">
        <f>1000000*(D3/B3)</f>
        <v>10.249402118209769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74.350597881790236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45</v>
      </c>
      <c r="N16" s="110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10.249402118209769</v>
      </c>
      <c r="I18" s="59">
        <f>H18*1.4</f>
        <v>14.349162965493676</v>
      </c>
      <c r="J18" t="s">
        <v>85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32.050597881790225</v>
      </c>
      <c r="I19">
        <f>H19*1.4</f>
        <v>44.870837034506309</v>
      </c>
      <c r="J19" t="s">
        <v>86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44.999999999999993</v>
      </c>
      <c r="I20" s="60">
        <f>SUM(I17:I19)</f>
        <v>62.999999999999986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8.7810000000000006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1.4*H17*($H$5*$H$4)</f>
        <v>11.34</v>
      </c>
      <c r="I22" s="59"/>
      <c r="J22" s="113"/>
      <c r="K22" s="116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43.047488896481028</v>
      </c>
      <c r="I23" s="59"/>
      <c r="J23" s="114"/>
      <c r="K23" s="117"/>
      <c r="L23" s="63"/>
      <c r="M23" s="62" t="s">
        <v>21</v>
      </c>
      <c r="N23" s="64">
        <f>H24+H23</f>
        <v>177.65999999999997</v>
      </c>
    </row>
    <row r="24" spans="1:14" x14ac:dyDescent="0.3">
      <c r="A24" s="101" t="s">
        <v>46</v>
      </c>
      <c r="B24" s="101"/>
      <c r="C24" s="65">
        <f>(C4*H1)*1000000</f>
        <v>9.0000000000000011E-3</v>
      </c>
      <c r="D24" s="102" t="s">
        <v>47</v>
      </c>
      <c r="E24" s="53"/>
      <c r="G24" s="62" t="s">
        <v>21</v>
      </c>
      <c r="H24" s="64">
        <f>1.4*H19*($H$5*$H$4)</f>
        <v>134.61251110351893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30634.39</v>
      </c>
      <c r="D25" s="102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8.9999999999999999E-11</v>
      </c>
      <c r="D26" s="102"/>
      <c r="E26" s="67" t="s">
        <v>52</v>
      </c>
      <c r="F26" s="68">
        <v>29346</v>
      </c>
      <c r="I26" t="s">
        <v>87</v>
      </c>
    </row>
    <row r="27" spans="1:14" x14ac:dyDescent="0.3">
      <c r="A27" s="103" t="s">
        <v>53</v>
      </c>
      <c r="B27" s="103"/>
      <c r="C27" s="71">
        <f>C26*C25*1000</f>
        <v>2.7570950999999998E-3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861-DABB-4D6D-8432-710074145CFC}">
  <sheetPr>
    <pageSetUpPr fitToPage="1"/>
  </sheetPr>
  <dimension ref="A1:O51"/>
  <sheetViews>
    <sheetView zoomScale="91" zoomScaleNormal="52" workbookViewId="0">
      <selection activeCell="H3" sqref="H3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9"/>
      <c r="K2" s="119"/>
    </row>
    <row r="3" spans="1:15" ht="15" thickBot="1" x14ac:dyDescent="0.35">
      <c r="A3" s="9" t="s">
        <v>7</v>
      </c>
      <c r="B3" s="10">
        <f>K21/1000000</f>
        <v>1.2143299999999999E-5</v>
      </c>
      <c r="C3" s="11">
        <f>L7/1000000</f>
        <v>9.9999999999999995E-7</v>
      </c>
      <c r="D3" s="12">
        <f>C3*H1</f>
        <v>8.9999999999999999E-11</v>
      </c>
      <c r="E3" s="13">
        <f>1000000*(D3/B3)</f>
        <v>7.4114944043217248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77.188505595678279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45</v>
      </c>
      <c r="N16" s="110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7.4114944043217248</v>
      </c>
      <c r="I18" s="59">
        <f>H18*1.4</f>
        <v>10.376092166050414</v>
      </c>
      <c r="J18" t="s">
        <v>85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34.888505595678275</v>
      </c>
      <c r="I19">
        <f>H19*1.4</f>
        <v>48.843907833949579</v>
      </c>
      <c r="J19" t="s">
        <v>86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12.1433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1.4*H17*($H$5*$H$4)</f>
        <v>11.34</v>
      </c>
      <c r="I22" s="59"/>
      <c r="J22" s="113"/>
      <c r="K22" s="116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31.128276498151244</v>
      </c>
      <c r="I23" s="59"/>
      <c r="J23" s="114"/>
      <c r="K23" s="117"/>
      <c r="L23" s="63"/>
      <c r="M23" s="62" t="s">
        <v>21</v>
      </c>
      <c r="N23" s="64">
        <f>H24+H23</f>
        <v>177.66</v>
      </c>
    </row>
    <row r="24" spans="1:14" x14ac:dyDescent="0.3">
      <c r="A24" s="101" t="s">
        <v>46</v>
      </c>
      <c r="B24" s="101"/>
      <c r="C24" s="65">
        <f>(C4*H1)*1000000</f>
        <v>9.0000000000000011E-3</v>
      </c>
      <c r="D24" s="102" t="s">
        <v>47</v>
      </c>
      <c r="E24" s="53"/>
      <c r="G24" s="62" t="s">
        <v>21</v>
      </c>
      <c r="H24" s="64">
        <f>1.4*H19*($H$5*$H$4)</f>
        <v>146.53172350184875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42986.78</v>
      </c>
      <c r="D25" s="102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8.9999999999999999E-11</v>
      </c>
      <c r="D26" s="102"/>
      <c r="E26" s="67" t="s">
        <v>52</v>
      </c>
      <c r="F26" s="68">
        <v>29346</v>
      </c>
      <c r="I26" t="s">
        <v>87</v>
      </c>
    </row>
    <row r="27" spans="1:14" x14ac:dyDescent="0.3">
      <c r="A27" s="103" t="s">
        <v>53</v>
      </c>
      <c r="B27" s="103"/>
      <c r="C27" s="71">
        <f>C26*C25*1000</f>
        <v>3.8688101999999999E-3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FEE-093B-42C6-B74F-8BE25E23B495}">
  <sheetPr>
    <pageSetUpPr fitToPage="1"/>
  </sheetPr>
  <dimension ref="A1:O51"/>
  <sheetViews>
    <sheetView zoomScale="91" zoomScaleNormal="52" workbookViewId="0">
      <selection activeCell="H3" sqref="H3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J2" s="119"/>
      <c r="K2" s="119"/>
    </row>
    <row r="3" spans="1:15" ht="15" thickBot="1" x14ac:dyDescent="0.35">
      <c r="A3" s="9" t="s">
        <v>7</v>
      </c>
      <c r="B3" s="10">
        <f>K21/1000000</f>
        <v>1.00592E-5</v>
      </c>
      <c r="C3" s="11">
        <f>L7/1000000</f>
        <v>9.9999999999999995E-7</v>
      </c>
      <c r="D3" s="12">
        <f>C3*H1</f>
        <v>8.9999999999999999E-11</v>
      </c>
      <c r="E3" s="13">
        <f>1000000*(D3/B3)</f>
        <v>8.9470335613170047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75.652966438682995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45</v>
      </c>
      <c r="N16" s="110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8.9470335613170047</v>
      </c>
      <c r="I18" s="59">
        <f>H18*1.4</f>
        <v>12.525846985843806</v>
      </c>
      <c r="J18" t="s">
        <v>85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33.352966438682991</v>
      </c>
      <c r="I19">
        <f>H19*1.4</f>
        <v>46.694153014156186</v>
      </c>
      <c r="J19" t="s">
        <v>86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45</v>
      </c>
      <c r="I20" s="60">
        <f>SUM(I17:I19)</f>
        <v>62.999999999999993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10.059200000000001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1.4*H17*($H$5*$H$4)</f>
        <v>11.34</v>
      </c>
      <c r="I22" s="59"/>
      <c r="J22" s="113"/>
      <c r="K22" s="116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37.577540957531419</v>
      </c>
      <c r="I23" s="59"/>
      <c r="J23" s="114"/>
      <c r="K23" s="117"/>
      <c r="L23" s="63"/>
      <c r="M23" s="62" t="s">
        <v>21</v>
      </c>
      <c r="N23" s="64">
        <f>H24+H23</f>
        <v>177.65999999999997</v>
      </c>
    </row>
    <row r="24" spans="1:14" x14ac:dyDescent="0.3">
      <c r="A24" s="101" t="s">
        <v>46</v>
      </c>
      <c r="B24" s="101"/>
      <c r="C24" s="65">
        <f>(C4*H1)*1000000</f>
        <v>9.0000000000000011E-3</v>
      </c>
      <c r="D24" s="102" t="s">
        <v>47</v>
      </c>
      <c r="E24" s="53"/>
      <c r="G24" s="62" t="s">
        <v>21</v>
      </c>
      <c r="H24" s="64">
        <f>1.4*H19*($H$5*$H$4)</f>
        <v>140.08245904246854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28232.74</v>
      </c>
      <c r="D25" s="102"/>
      <c r="E25" s="67"/>
      <c r="F25" s="68" t="s">
        <v>49</v>
      </c>
      <c r="G25" s="69" t="s">
        <v>33</v>
      </c>
      <c r="H25" s="70">
        <f>SUM(H22:H24)</f>
        <v>188.99999999999994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8.9999999999999999E-11</v>
      </c>
      <c r="D26" s="102"/>
      <c r="E26" s="67" t="s">
        <v>52</v>
      </c>
      <c r="F26" s="68">
        <v>29346</v>
      </c>
      <c r="I26" t="s">
        <v>87</v>
      </c>
    </row>
    <row r="27" spans="1:14" x14ac:dyDescent="0.3">
      <c r="A27" s="103" t="s">
        <v>53</v>
      </c>
      <c r="B27" s="103"/>
      <c r="C27" s="71">
        <f>C26*C25*1000</f>
        <v>2.5409466000000003E-3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J1:K2"/>
    <mergeCell ref="L4:M5"/>
    <mergeCell ref="J7:K7"/>
    <mergeCell ref="M7:N7"/>
    <mergeCell ref="G12:H14"/>
    <mergeCell ref="D15:D16"/>
    <mergeCell ref="L16:L18"/>
    <mergeCell ref="M16:M18"/>
    <mergeCell ref="N16:N18"/>
    <mergeCell ref="A18:E22"/>
    <mergeCell ref="J21:J23"/>
    <mergeCell ref="K21:K23"/>
    <mergeCell ref="E14:E16"/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</mergeCells>
  <pageMargins left="0.7" right="0.7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DF15-60AA-4295-B2AF-1F2F71FD85B1}">
  <sheetPr>
    <pageSetUpPr fitToPage="1"/>
  </sheetPr>
  <dimension ref="A1:O51"/>
  <sheetViews>
    <sheetView topLeftCell="C1" zoomScale="91" zoomScaleNormal="52" workbookViewId="0">
      <selection activeCell="I28" sqref="I28"/>
    </sheetView>
  </sheetViews>
  <sheetFormatPr defaultColWidth="8.88671875" defaultRowHeight="14.4" x14ac:dyDescent="0.3"/>
  <cols>
    <col min="1" max="1" width="15.44140625" bestFit="1" customWidth="1"/>
    <col min="2" max="2" width="14.33203125" style="41" bestFit="1" customWidth="1"/>
    <col min="3" max="3" width="13.6640625" style="41" bestFit="1" customWidth="1"/>
    <col min="4" max="4" width="25" style="41" customWidth="1"/>
    <col min="5" max="5" width="18.88671875" style="41" bestFit="1" customWidth="1"/>
    <col min="6" max="6" width="13.6640625" bestFit="1" customWidth="1"/>
    <col min="7" max="7" width="22.6640625" bestFit="1" customWidth="1"/>
    <col min="8" max="9" width="13.6640625" bestFit="1" customWidth="1"/>
    <col min="10" max="10" width="32" bestFit="1" customWidth="1"/>
    <col min="11" max="11" width="13.6640625" bestFit="1" customWidth="1"/>
    <col min="12" max="12" width="20.44140625" bestFit="1" customWidth="1"/>
    <col min="13" max="13" width="11.109375" bestFit="1" customWidth="1"/>
    <col min="14" max="14" width="8.33203125" bestFit="1" customWidth="1"/>
    <col min="15" max="15" width="8.44140625" bestFit="1" customWidth="1"/>
  </cols>
  <sheetData>
    <row r="1" spans="1:1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4">
        <f>H2/1000000</f>
        <v>9.0000000000000006E-5</v>
      </c>
      <c r="J1" s="118"/>
      <c r="K1" s="119"/>
    </row>
    <row r="2" spans="1:15" ht="15" thickBot="1" x14ac:dyDescent="0.35">
      <c r="A2" s="5"/>
      <c r="B2" s="6"/>
      <c r="C2" s="7"/>
      <c r="D2" s="7"/>
      <c r="E2" s="7"/>
      <c r="G2" s="8" t="s">
        <v>6</v>
      </c>
      <c r="H2">
        <v>90</v>
      </c>
      <c r="I2" t="s">
        <v>88</v>
      </c>
      <c r="J2" s="119"/>
      <c r="K2" s="119"/>
    </row>
    <row r="3" spans="1:15" ht="15" thickBot="1" x14ac:dyDescent="0.35">
      <c r="A3" s="9" t="s">
        <v>7</v>
      </c>
      <c r="B3" s="10">
        <f>K21/1000000</f>
        <v>9.3863000000000002E-6</v>
      </c>
      <c r="C3" s="11">
        <f>L7/1000000</f>
        <v>9.9999999999999995E-7</v>
      </c>
      <c r="D3" s="12">
        <f>C3*H1</f>
        <v>8.9999999999999999E-11</v>
      </c>
      <c r="E3" s="13">
        <f>1000000*(D3/B3)</f>
        <v>9.5884427303623347</v>
      </c>
    </row>
    <row r="4" spans="1:15" ht="15" thickBot="1" x14ac:dyDescent="0.35">
      <c r="A4" s="14" t="s">
        <v>8</v>
      </c>
      <c r="B4" s="10">
        <f>E13/1000</f>
        <v>0.01</v>
      </c>
      <c r="C4" s="15">
        <f>O7/1000000</f>
        <v>1E-4</v>
      </c>
      <c r="D4" s="16">
        <f>C4*H1</f>
        <v>9.0000000000000012E-9</v>
      </c>
      <c r="E4" s="17">
        <f>1000000*(D4/B4)</f>
        <v>0.9</v>
      </c>
      <c r="G4" s="8" t="s">
        <v>9</v>
      </c>
      <c r="H4" s="18">
        <v>3</v>
      </c>
      <c r="J4" s="19" t="s">
        <v>10</v>
      </c>
      <c r="K4" s="19">
        <v>1</v>
      </c>
      <c r="L4" s="120" t="s">
        <v>11</v>
      </c>
      <c r="M4" s="120"/>
    </row>
    <row r="5" spans="1:15" ht="15" thickBot="1" x14ac:dyDescent="0.35">
      <c r="A5" s="20" t="s">
        <v>12</v>
      </c>
      <c r="B5" s="10">
        <f>B14/1000</f>
        <v>0.5</v>
      </c>
      <c r="C5" s="21">
        <f>5/1000</f>
        <v>5.0000000000000001E-3</v>
      </c>
      <c r="D5" s="22">
        <f>C5*H1</f>
        <v>4.5000000000000003E-7</v>
      </c>
      <c r="E5" s="23">
        <f>1000000*(D5/B5)</f>
        <v>0.9</v>
      </c>
      <c r="G5" s="8" t="s">
        <v>13</v>
      </c>
      <c r="H5" s="24">
        <v>1</v>
      </c>
      <c r="J5" s="8" t="s">
        <v>14</v>
      </c>
      <c r="K5" s="18">
        <v>1</v>
      </c>
      <c r="L5" s="120"/>
      <c r="M5" s="120"/>
    </row>
    <row r="6" spans="1:15" ht="15" thickBot="1" x14ac:dyDescent="0.35">
      <c r="A6" s="20" t="s">
        <v>15</v>
      </c>
      <c r="B6" s="10">
        <f>B15/1000000</f>
        <v>2E-3</v>
      </c>
      <c r="C6" s="21">
        <f>60/1000000</f>
        <v>6.0000000000000002E-5</v>
      </c>
      <c r="D6" s="22">
        <f>C6*H1</f>
        <v>5.4000000000000004E-9</v>
      </c>
      <c r="E6" s="23">
        <f>1000000*(D6/B6)</f>
        <v>2.7</v>
      </c>
      <c r="G6" s="4" t="s">
        <v>16</v>
      </c>
      <c r="H6" s="4">
        <v>6</v>
      </c>
    </row>
    <row r="7" spans="1:15" ht="15" thickBot="1" x14ac:dyDescent="0.35">
      <c r="A7" s="25" t="s">
        <v>17</v>
      </c>
      <c r="B7" s="10">
        <f>B16/1000</f>
        <v>0.1</v>
      </c>
      <c r="C7" s="26">
        <f>1/1000</f>
        <v>1E-3</v>
      </c>
      <c r="D7" s="27">
        <f>C7*H1</f>
        <v>9.0000000000000012E-8</v>
      </c>
      <c r="E7" s="28">
        <f>1000000*(D7/B7)</f>
        <v>0.9</v>
      </c>
      <c r="G7" s="29" t="s">
        <v>18</v>
      </c>
      <c r="H7" s="18">
        <v>0</v>
      </c>
      <c r="J7" s="121" t="s">
        <v>19</v>
      </c>
      <c r="K7" s="122"/>
      <c r="L7" s="30">
        <v>1</v>
      </c>
      <c r="M7" s="123" t="s">
        <v>20</v>
      </c>
      <c r="N7" s="124"/>
      <c r="O7" s="31">
        <v>100</v>
      </c>
    </row>
    <row r="8" spans="1:15" x14ac:dyDescent="0.3">
      <c r="A8" s="32" t="s">
        <v>21</v>
      </c>
      <c r="B8" s="33"/>
      <c r="C8" s="34"/>
      <c r="D8" s="34"/>
      <c r="E8" s="35">
        <f>H2-(SUM(E3:E7)+E9)</f>
        <v>75.011557269637663</v>
      </c>
    </row>
    <row r="9" spans="1:15" x14ac:dyDescent="0.3">
      <c r="A9" s="36" t="s">
        <v>22</v>
      </c>
      <c r="B9" s="37">
        <f>10/1000</f>
        <v>0.01</v>
      </c>
      <c r="C9" s="38">
        <f>H7/1000</f>
        <v>0</v>
      </c>
      <c r="D9" s="39">
        <f>C9*H1</f>
        <v>0</v>
      </c>
      <c r="E9" s="40">
        <f>IF(B9 = 0, 0, 1000000*(D9/B9))</f>
        <v>0</v>
      </c>
      <c r="G9" s="5"/>
      <c r="H9" s="5"/>
      <c r="I9" s="5"/>
      <c r="J9" s="5"/>
      <c r="K9" s="5"/>
      <c r="L9" s="5"/>
      <c r="M9" s="5" t="s">
        <v>23</v>
      </c>
      <c r="N9" s="5" t="s">
        <v>24</v>
      </c>
    </row>
    <row r="10" spans="1:15" x14ac:dyDescent="0.3">
      <c r="G10" s="1" t="s">
        <v>25</v>
      </c>
      <c r="H10" s="42">
        <f>((H2/2)-E4-E9)*H6</f>
        <v>264.60000000000002</v>
      </c>
      <c r="I10" s="5" t="s">
        <v>26</v>
      </c>
      <c r="J10" s="5">
        <f>H10*1.2</f>
        <v>317.52000000000004</v>
      </c>
      <c r="K10" s="5"/>
      <c r="L10" s="5" t="s">
        <v>12</v>
      </c>
      <c r="M10" s="43">
        <f>E5</f>
        <v>0.9</v>
      </c>
      <c r="N10" s="1">
        <f>1.4*M10*H6</f>
        <v>7.5600000000000005</v>
      </c>
    </row>
    <row r="11" spans="1:15" x14ac:dyDescent="0.3">
      <c r="G11" s="5"/>
      <c r="H11" s="44"/>
      <c r="I11" s="5"/>
      <c r="J11" s="5"/>
      <c r="K11" s="5"/>
      <c r="L11" s="5"/>
      <c r="M11" s="43"/>
      <c r="N11" s="1"/>
    </row>
    <row r="12" spans="1:15" ht="15" thickBot="1" x14ac:dyDescent="0.35">
      <c r="G12" s="125" t="s">
        <v>27</v>
      </c>
      <c r="H12" s="126"/>
      <c r="I12" s="5"/>
      <c r="J12" s="5"/>
      <c r="K12" s="5"/>
      <c r="L12" s="5" t="s">
        <v>17</v>
      </c>
      <c r="M12" s="43">
        <f>E7</f>
        <v>0.9</v>
      </c>
      <c r="N12" s="1">
        <f>1.4*M12*H6</f>
        <v>7.5600000000000005</v>
      </c>
    </row>
    <row r="13" spans="1:15" ht="15" thickBot="1" x14ac:dyDescent="0.35">
      <c r="A13" s="45" t="s">
        <v>28</v>
      </c>
      <c r="B13" s="46" t="s">
        <v>29</v>
      </c>
      <c r="C13" s="47" t="s">
        <v>30</v>
      </c>
      <c r="D13" s="48" t="s">
        <v>31</v>
      </c>
      <c r="E13" s="49">
        <v>10</v>
      </c>
      <c r="G13" s="127"/>
      <c r="H13" s="128"/>
      <c r="I13" s="5"/>
      <c r="J13" s="5"/>
      <c r="K13" s="5"/>
      <c r="L13" s="5" t="s">
        <v>21</v>
      </c>
      <c r="M13" s="43">
        <f>(H2/2)-SUM(M10:M12)-E4-E9</f>
        <v>42.300000000000004</v>
      </c>
      <c r="N13" s="1">
        <f>1.4*M13*H6</f>
        <v>355.32</v>
      </c>
    </row>
    <row r="14" spans="1:15" x14ac:dyDescent="0.3">
      <c r="A14" s="50" t="s">
        <v>32</v>
      </c>
      <c r="B14" s="51">
        <v>500</v>
      </c>
      <c r="C14" s="52">
        <v>5</v>
      </c>
      <c r="D14"/>
      <c r="E14" s="105"/>
      <c r="G14" s="129"/>
      <c r="H14" s="130"/>
      <c r="I14" s="5"/>
      <c r="J14" s="5"/>
      <c r="K14" s="5"/>
      <c r="L14" s="5" t="s">
        <v>33</v>
      </c>
      <c r="M14" s="5">
        <f>SUM(M10:M13)</f>
        <v>44.1</v>
      </c>
      <c r="N14" s="5">
        <f>SUM(N10:N13)</f>
        <v>370.44</v>
      </c>
    </row>
    <row r="15" spans="1:15" x14ac:dyDescent="0.3">
      <c r="A15" s="50" t="s">
        <v>34</v>
      </c>
      <c r="B15" s="51">
        <v>2000</v>
      </c>
      <c r="C15" s="54">
        <v>20</v>
      </c>
      <c r="D15" s="105"/>
      <c r="E15" s="105"/>
      <c r="L15" s="5" t="s">
        <v>8</v>
      </c>
      <c r="M15" s="42">
        <f>E4</f>
        <v>0.9</v>
      </c>
      <c r="N15" s="55">
        <f>1.4*M15*H6</f>
        <v>7.5600000000000005</v>
      </c>
    </row>
    <row r="16" spans="1:15" ht="15" thickBot="1" x14ac:dyDescent="0.35">
      <c r="A16" s="56" t="s">
        <v>35</v>
      </c>
      <c r="B16" s="57">
        <v>100</v>
      </c>
      <c r="C16" s="58">
        <v>1</v>
      </c>
      <c r="D16" s="105"/>
      <c r="E16" s="105"/>
      <c r="H16" t="s">
        <v>36</v>
      </c>
      <c r="I16" t="s">
        <v>37</v>
      </c>
      <c r="L16" s="106" t="s">
        <v>38</v>
      </c>
      <c r="M16" s="107">
        <f>M14+M15</f>
        <v>45</v>
      </c>
      <c r="N16" s="110">
        <f>SUM(N14:N15)</f>
        <v>378</v>
      </c>
    </row>
    <row r="17" spans="1:14" x14ac:dyDescent="0.3">
      <c r="A17" s="53"/>
      <c r="B17" s="53"/>
      <c r="C17" s="53"/>
      <c r="D17" s="53"/>
      <c r="E17" s="53"/>
      <c r="G17" t="s">
        <v>39</v>
      </c>
      <c r="H17" s="59">
        <f>E6</f>
        <v>2.7</v>
      </c>
      <c r="I17" s="59">
        <f>H17*1.4</f>
        <v>3.78</v>
      </c>
      <c r="J17" t="s">
        <v>84</v>
      </c>
      <c r="L17" s="106"/>
      <c r="M17" s="108"/>
      <c r="N17" s="108"/>
    </row>
    <row r="18" spans="1:14" x14ac:dyDescent="0.3">
      <c r="A18" s="111" t="s">
        <v>40</v>
      </c>
      <c r="B18" s="111"/>
      <c r="C18" s="111"/>
      <c r="D18" s="111"/>
      <c r="E18" s="111"/>
      <c r="G18" t="s">
        <v>41</v>
      </c>
      <c r="H18" s="59">
        <f>E3</f>
        <v>9.5884427303623347</v>
      </c>
      <c r="I18" s="59">
        <f>H18*1.4</f>
        <v>13.423819822507268</v>
      </c>
      <c r="J18" t="s">
        <v>85</v>
      </c>
      <c r="L18" s="106"/>
      <c r="M18" s="109"/>
      <c r="N18" s="109"/>
    </row>
    <row r="19" spans="1:14" ht="15" customHeight="1" x14ac:dyDescent="0.3">
      <c r="A19" s="111"/>
      <c r="B19" s="111"/>
      <c r="C19" s="111"/>
      <c r="D19" s="111"/>
      <c r="E19" s="111"/>
      <c r="G19" t="s">
        <v>42</v>
      </c>
      <c r="H19" s="59">
        <f>(H2/2)-H17-H18</f>
        <v>32.711557269637666</v>
      </c>
      <c r="I19">
        <f>H19*1.4</f>
        <v>45.79618017749273</v>
      </c>
      <c r="J19" t="s">
        <v>86</v>
      </c>
    </row>
    <row r="20" spans="1:14" ht="15.75" customHeight="1" thickBot="1" x14ac:dyDescent="0.35">
      <c r="A20" s="111"/>
      <c r="B20" s="111"/>
      <c r="C20" s="111"/>
      <c r="D20" s="111"/>
      <c r="E20" s="111"/>
      <c r="G20" t="s">
        <v>33</v>
      </c>
      <c r="H20" s="60">
        <f>SUM(H17:H19)</f>
        <v>45</v>
      </c>
      <c r="I20" s="60">
        <f>SUM(I17:I19)</f>
        <v>63</v>
      </c>
    </row>
    <row r="21" spans="1:14" ht="15" customHeight="1" x14ac:dyDescent="0.3">
      <c r="A21" s="111"/>
      <c r="B21" s="111"/>
      <c r="C21" s="111"/>
      <c r="D21" s="111"/>
      <c r="E21" s="111"/>
      <c r="G21" s="61" t="s">
        <v>43</v>
      </c>
      <c r="H21" s="62"/>
      <c r="J21" s="112" t="s">
        <v>44</v>
      </c>
      <c r="K21" s="115">
        <v>9.3863000000000003</v>
      </c>
      <c r="L21" s="63"/>
      <c r="M21" s="63" t="s">
        <v>45</v>
      </c>
    </row>
    <row r="22" spans="1:14" ht="15" customHeight="1" x14ac:dyDescent="0.3">
      <c r="A22" s="111"/>
      <c r="B22" s="111"/>
      <c r="C22" s="111"/>
      <c r="D22" s="111"/>
      <c r="E22" s="111"/>
      <c r="G22" s="62" t="s">
        <v>15</v>
      </c>
      <c r="H22" s="64">
        <f>1.4*H17*($H$5*$H$4)</f>
        <v>11.34</v>
      </c>
      <c r="I22" s="59"/>
      <c r="J22" s="113"/>
      <c r="K22" s="116"/>
      <c r="L22" s="63"/>
      <c r="M22" s="62" t="s">
        <v>15</v>
      </c>
      <c r="N22" s="64">
        <f>H22</f>
        <v>11.34</v>
      </c>
    </row>
    <row r="23" spans="1:14" ht="15" thickBot="1" x14ac:dyDescent="0.35">
      <c r="A23" s="53"/>
      <c r="B23" s="53"/>
      <c r="C23" s="53"/>
      <c r="D23" s="53"/>
      <c r="E23" s="53"/>
      <c r="G23" s="62" t="s">
        <v>7</v>
      </c>
      <c r="H23" s="64">
        <f>1.4*H18*($H$5*$H$4)</f>
        <v>40.271459467521801</v>
      </c>
      <c r="I23" s="59"/>
      <c r="J23" s="114"/>
      <c r="K23" s="117"/>
      <c r="L23" s="63"/>
      <c r="M23" s="62" t="s">
        <v>21</v>
      </c>
      <c r="N23" s="64">
        <f>H24+H23</f>
        <v>177.66</v>
      </c>
    </row>
    <row r="24" spans="1:14" x14ac:dyDescent="0.3">
      <c r="A24" s="101" t="s">
        <v>46</v>
      </c>
      <c r="B24" s="101"/>
      <c r="C24" s="65">
        <f>(C4*H1)*1000000</f>
        <v>9.0000000000000011E-3</v>
      </c>
      <c r="D24" s="102" t="s">
        <v>47</v>
      </c>
      <c r="E24" s="53"/>
      <c r="G24" s="62" t="s">
        <v>21</v>
      </c>
      <c r="H24" s="64">
        <f>1.4*H19*($H$5*$H$4)</f>
        <v>137.3885405324782</v>
      </c>
      <c r="J24" s="63"/>
      <c r="K24" s="63"/>
      <c r="L24" s="63"/>
    </row>
    <row r="25" spans="1:14" x14ac:dyDescent="0.3">
      <c r="A25" s="103" t="s">
        <v>48</v>
      </c>
      <c r="B25" s="103"/>
      <c r="C25" s="66">
        <v>28232.74</v>
      </c>
      <c r="D25" s="102"/>
      <c r="E25" s="67"/>
      <c r="F25" s="68" t="s">
        <v>49</v>
      </c>
      <c r="G25" s="69" t="s">
        <v>33</v>
      </c>
      <c r="H25" s="70">
        <f>SUM(H22:H24)</f>
        <v>189</v>
      </c>
      <c r="J25" s="63" t="s">
        <v>50</v>
      </c>
      <c r="K25" s="63"/>
      <c r="L25" s="63"/>
      <c r="M25" s="63"/>
    </row>
    <row r="26" spans="1:14" x14ac:dyDescent="0.3">
      <c r="A26" s="103" t="s">
        <v>51</v>
      </c>
      <c r="B26" s="103"/>
      <c r="C26" s="7">
        <f>C3*H1</f>
        <v>8.9999999999999999E-11</v>
      </c>
      <c r="D26" s="102"/>
      <c r="E26" s="67" t="s">
        <v>52</v>
      </c>
      <c r="F26" s="68">
        <v>29346</v>
      </c>
      <c r="I26" t="s">
        <v>87</v>
      </c>
    </row>
    <row r="27" spans="1:14" x14ac:dyDescent="0.3">
      <c r="A27" s="103" t="s">
        <v>53</v>
      </c>
      <c r="B27" s="103"/>
      <c r="C27" s="71">
        <f>C26*C25*1000</f>
        <v>2.5409466000000003E-3</v>
      </c>
      <c r="D27" s="102"/>
      <c r="E27" s="67" t="s">
        <v>54</v>
      </c>
      <c r="F27" s="68">
        <v>29386</v>
      </c>
    </row>
    <row r="29" spans="1:14" x14ac:dyDescent="0.3">
      <c r="A29" s="104" t="s">
        <v>83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</row>
    <row r="30" spans="1:14" x14ac:dyDescent="0.3">
      <c r="A30" s="72"/>
      <c r="B30" s="72">
        <v>1</v>
      </c>
      <c r="C30" s="72">
        <v>2</v>
      </c>
      <c r="D30" s="73">
        <v>3</v>
      </c>
      <c r="E30" s="72">
        <v>4</v>
      </c>
      <c r="F30" s="72">
        <v>5</v>
      </c>
      <c r="G30" s="72">
        <v>6</v>
      </c>
      <c r="H30" s="72">
        <v>7</v>
      </c>
      <c r="I30" s="72">
        <v>8</v>
      </c>
      <c r="J30" s="72">
        <v>9</v>
      </c>
      <c r="K30" s="72">
        <v>10</v>
      </c>
      <c r="L30" s="72">
        <v>11</v>
      </c>
      <c r="M30" s="72">
        <v>12</v>
      </c>
    </row>
    <row r="31" spans="1:14" x14ac:dyDescent="0.3">
      <c r="A31" s="72" t="s">
        <v>55</v>
      </c>
      <c r="B31" s="74" t="s">
        <v>45</v>
      </c>
      <c r="C31" s="75" t="s">
        <v>56</v>
      </c>
      <c r="D31" s="90" t="s">
        <v>57</v>
      </c>
      <c r="E31" s="72" t="s">
        <v>58</v>
      </c>
      <c r="F31" s="72"/>
      <c r="G31" s="72"/>
      <c r="H31" s="72"/>
      <c r="I31" s="72"/>
      <c r="J31" s="73"/>
      <c r="K31" s="73"/>
      <c r="L31" s="73"/>
      <c r="M31" s="72"/>
    </row>
    <row r="32" spans="1:14" x14ac:dyDescent="0.3">
      <c r="A32" s="72" t="s">
        <v>59</v>
      </c>
      <c r="B32" s="74" t="s">
        <v>45</v>
      </c>
      <c r="C32" s="75" t="s">
        <v>56</v>
      </c>
      <c r="D32" s="91"/>
      <c r="E32" s="5" t="s">
        <v>60</v>
      </c>
      <c r="F32" s="72"/>
      <c r="G32" s="72"/>
      <c r="H32" s="5"/>
      <c r="I32" s="72"/>
      <c r="J32" s="73"/>
      <c r="K32" s="73"/>
      <c r="L32" s="73"/>
      <c r="M32" s="72"/>
    </row>
    <row r="33" spans="1:13" x14ac:dyDescent="0.3">
      <c r="A33" s="72" t="s">
        <v>61</v>
      </c>
      <c r="B33" s="74" t="s">
        <v>45</v>
      </c>
      <c r="C33" s="75" t="s">
        <v>56</v>
      </c>
      <c r="D33" s="92"/>
      <c r="E33" s="5" t="s">
        <v>62</v>
      </c>
      <c r="F33" s="72"/>
      <c r="G33" s="72"/>
      <c r="H33" s="5"/>
      <c r="I33" s="72"/>
      <c r="J33" s="73"/>
      <c r="K33" s="73"/>
      <c r="L33" s="73"/>
      <c r="M33" s="72"/>
    </row>
    <row r="34" spans="1:13" x14ac:dyDescent="0.3">
      <c r="A34" s="72" t="s">
        <v>63</v>
      </c>
      <c r="B34" s="76" t="s">
        <v>43</v>
      </c>
      <c r="C34" s="75" t="s">
        <v>56</v>
      </c>
      <c r="D34" s="93" t="s">
        <v>64</v>
      </c>
      <c r="E34" s="72" t="s">
        <v>58</v>
      </c>
      <c r="F34" s="72"/>
      <c r="G34" s="5"/>
      <c r="H34" s="72"/>
      <c r="I34" s="72"/>
      <c r="J34" s="77"/>
      <c r="K34" s="73"/>
      <c r="L34" s="73"/>
      <c r="M34" s="72"/>
    </row>
    <row r="35" spans="1:13" x14ac:dyDescent="0.3">
      <c r="A35" s="73" t="s">
        <v>65</v>
      </c>
      <c r="B35" s="76" t="s">
        <v>43</v>
      </c>
      <c r="C35" s="75" t="s">
        <v>56</v>
      </c>
      <c r="D35" s="94"/>
      <c r="E35" s="5" t="s">
        <v>60</v>
      </c>
      <c r="F35" s="72"/>
      <c r="G35" s="72"/>
      <c r="H35" s="5"/>
      <c r="I35" s="72"/>
      <c r="J35" s="72"/>
      <c r="K35" s="73"/>
      <c r="L35" s="73"/>
      <c r="M35" s="73"/>
    </row>
    <row r="36" spans="1:13" x14ac:dyDescent="0.3">
      <c r="A36" s="73" t="s">
        <v>66</v>
      </c>
      <c r="B36" s="76" t="s">
        <v>43</v>
      </c>
      <c r="C36" s="75" t="s">
        <v>56</v>
      </c>
      <c r="D36" s="95"/>
      <c r="E36" s="5" t="s">
        <v>62</v>
      </c>
      <c r="F36" s="72"/>
      <c r="G36" s="72"/>
      <c r="H36" s="5"/>
      <c r="I36" s="72"/>
      <c r="J36" s="72"/>
      <c r="K36" s="73"/>
      <c r="L36" s="73"/>
      <c r="M36" s="73"/>
    </row>
    <row r="37" spans="1:13" x14ac:dyDescent="0.3">
      <c r="A37" s="73" t="s">
        <v>67</v>
      </c>
      <c r="B37" s="5"/>
      <c r="C37" s="72"/>
      <c r="D37" s="72"/>
      <c r="E37" s="5"/>
      <c r="F37" s="72"/>
      <c r="G37" s="72"/>
      <c r="H37" s="5"/>
      <c r="I37" s="72"/>
      <c r="J37" s="72"/>
      <c r="K37" s="73"/>
      <c r="L37" s="73"/>
      <c r="M37" s="73"/>
    </row>
    <row r="38" spans="1:13" x14ac:dyDescent="0.3">
      <c r="B38"/>
      <c r="C38"/>
      <c r="D38"/>
      <c r="E38"/>
    </row>
    <row r="39" spans="1:13" x14ac:dyDescent="0.3">
      <c r="B39"/>
      <c r="C39"/>
      <c r="D39"/>
      <c r="E39"/>
    </row>
    <row r="40" spans="1:13" x14ac:dyDescent="0.3">
      <c r="A40" s="96" t="s">
        <v>68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 spans="1:13" x14ac:dyDescent="0.3">
      <c r="A41" s="78" t="s">
        <v>69</v>
      </c>
      <c r="B41" s="79" t="s">
        <v>70</v>
      </c>
      <c r="C41" s="79" t="s">
        <v>71</v>
      </c>
      <c r="D41" s="79" t="s">
        <v>72</v>
      </c>
      <c r="E41" s="79" t="s">
        <v>73</v>
      </c>
      <c r="F41" s="79" t="s">
        <v>74</v>
      </c>
      <c r="G41" s="80"/>
      <c r="H41" s="79"/>
      <c r="I41" s="79"/>
      <c r="J41" s="79"/>
      <c r="K41" s="79"/>
      <c r="L41" s="79"/>
      <c r="M41" s="80"/>
    </row>
    <row r="42" spans="1:13" x14ac:dyDescent="0.3">
      <c r="A42" s="72"/>
      <c r="B42" s="81">
        <v>1</v>
      </c>
      <c r="C42" s="81">
        <v>2</v>
      </c>
      <c r="D42" s="82">
        <v>3</v>
      </c>
      <c r="E42" s="81">
        <v>4</v>
      </c>
      <c r="F42" s="81">
        <v>5</v>
      </c>
      <c r="G42" s="72">
        <v>6</v>
      </c>
      <c r="H42" s="72">
        <v>7</v>
      </c>
      <c r="I42" s="72">
        <v>8</v>
      </c>
      <c r="J42" s="72">
        <v>9</v>
      </c>
      <c r="K42" s="72">
        <v>10</v>
      </c>
      <c r="L42" s="72">
        <v>11</v>
      </c>
      <c r="M42" s="72">
        <v>12</v>
      </c>
    </row>
    <row r="43" spans="1:13" x14ac:dyDescent="0.3">
      <c r="A43" s="83" t="s">
        <v>55</v>
      </c>
      <c r="B43" s="62" t="s">
        <v>75</v>
      </c>
      <c r="C43" s="62" t="s">
        <v>75</v>
      </c>
      <c r="D43" s="62" t="s">
        <v>75</v>
      </c>
      <c r="E43" s="62" t="s">
        <v>75</v>
      </c>
      <c r="F43" s="62" t="s">
        <v>75</v>
      </c>
      <c r="G43" s="72">
        <v>6</v>
      </c>
      <c r="H43" s="72">
        <v>7</v>
      </c>
      <c r="I43" s="72">
        <v>8</v>
      </c>
      <c r="J43" s="72">
        <v>9</v>
      </c>
      <c r="K43" s="72">
        <v>10</v>
      </c>
      <c r="L43" s="72">
        <v>11</v>
      </c>
      <c r="M43" s="72">
        <v>12</v>
      </c>
    </row>
    <row r="44" spans="1:13" x14ac:dyDescent="0.3">
      <c r="A44" s="83" t="s">
        <v>59</v>
      </c>
      <c r="B44" s="62" t="s">
        <v>76</v>
      </c>
      <c r="C44" s="62" t="s">
        <v>76</v>
      </c>
      <c r="D44" s="62" t="s">
        <v>76</v>
      </c>
      <c r="E44" s="62" t="s">
        <v>76</v>
      </c>
      <c r="F44" s="62" t="s">
        <v>76</v>
      </c>
      <c r="G44" s="84"/>
      <c r="H44" s="5"/>
      <c r="I44" s="5"/>
      <c r="J44" s="5"/>
      <c r="K44" s="5"/>
      <c r="L44" s="5"/>
      <c r="M44" s="84"/>
    </row>
    <row r="45" spans="1:13" x14ac:dyDescent="0.3">
      <c r="A45" s="83" t="s">
        <v>61</v>
      </c>
      <c r="B45" s="62" t="s">
        <v>77</v>
      </c>
      <c r="C45" s="62" t="s">
        <v>77</v>
      </c>
      <c r="D45" s="62" t="s">
        <v>77</v>
      </c>
      <c r="E45" s="62" t="s">
        <v>77</v>
      </c>
      <c r="F45" s="62" t="s">
        <v>77</v>
      </c>
      <c r="G45" s="84"/>
      <c r="H45" s="5"/>
      <c r="I45" s="5"/>
      <c r="J45" s="5"/>
      <c r="K45" s="5"/>
      <c r="L45" s="5"/>
      <c r="M45" s="84"/>
    </row>
    <row r="46" spans="1:13" x14ac:dyDescent="0.3">
      <c r="A46" s="83" t="s">
        <v>63</v>
      </c>
      <c r="B46" s="85" t="s">
        <v>78</v>
      </c>
      <c r="C46" s="85" t="s">
        <v>78</v>
      </c>
      <c r="D46" s="85" t="s">
        <v>78</v>
      </c>
      <c r="E46" s="85" t="s">
        <v>78</v>
      </c>
      <c r="F46" s="85" t="s">
        <v>78</v>
      </c>
      <c r="G46" s="84"/>
      <c r="H46" s="5"/>
      <c r="I46" s="5"/>
      <c r="J46" s="5"/>
      <c r="K46" s="5"/>
      <c r="L46" s="5"/>
      <c r="M46" s="84"/>
    </row>
    <row r="47" spans="1:13" x14ac:dyDescent="0.3">
      <c r="A47" s="86" t="s">
        <v>65</v>
      </c>
      <c r="B47" s="85" t="s">
        <v>79</v>
      </c>
      <c r="C47" s="85" t="s">
        <v>79</v>
      </c>
      <c r="D47" s="85" t="s">
        <v>79</v>
      </c>
      <c r="E47" s="85" t="s">
        <v>79</v>
      </c>
      <c r="F47" s="85" t="s">
        <v>79</v>
      </c>
      <c r="G47" s="5"/>
      <c r="H47" s="5"/>
      <c r="I47" s="5"/>
      <c r="J47" s="5"/>
      <c r="K47" s="5"/>
      <c r="L47" s="5"/>
      <c r="M47" s="84"/>
    </row>
    <row r="48" spans="1:13" x14ac:dyDescent="0.3">
      <c r="A48" s="86" t="s">
        <v>66</v>
      </c>
      <c r="B48" s="85" t="s">
        <v>80</v>
      </c>
      <c r="C48" s="85" t="s">
        <v>80</v>
      </c>
      <c r="D48" s="85" t="s">
        <v>80</v>
      </c>
      <c r="E48" s="85" t="s">
        <v>80</v>
      </c>
      <c r="F48" s="85" t="s">
        <v>80</v>
      </c>
      <c r="G48" s="5"/>
      <c r="H48" s="5"/>
      <c r="I48" s="5"/>
      <c r="J48" s="5"/>
      <c r="K48" s="5"/>
      <c r="L48" s="5"/>
      <c r="M48" s="84"/>
    </row>
    <row r="49" spans="1:13" x14ac:dyDescent="0.3">
      <c r="A49" s="86" t="s">
        <v>67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4"/>
    </row>
    <row r="50" spans="1:13" x14ac:dyDescent="0.3">
      <c r="A50" s="87" t="s">
        <v>81</v>
      </c>
      <c r="B50" s="72"/>
      <c r="C50" s="72"/>
      <c r="D50" s="72"/>
      <c r="E50" s="5"/>
      <c r="F50" s="5"/>
      <c r="G50" s="5"/>
      <c r="H50" s="5"/>
      <c r="I50" s="5"/>
      <c r="J50" s="72"/>
      <c r="K50" s="72"/>
      <c r="L50" s="72"/>
      <c r="M50" s="88"/>
    </row>
    <row r="51" spans="1:13" x14ac:dyDescent="0.3">
      <c r="B51" s="98" t="s">
        <v>82</v>
      </c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100"/>
    </row>
  </sheetData>
  <mergeCells count="23">
    <mergeCell ref="D31:D33"/>
    <mergeCell ref="D34:D36"/>
    <mergeCell ref="A40:M40"/>
    <mergeCell ref="B51:M51"/>
    <mergeCell ref="A24:B24"/>
    <mergeCell ref="D24:D27"/>
    <mergeCell ref="A25:B25"/>
    <mergeCell ref="A26:B26"/>
    <mergeCell ref="A27:B27"/>
    <mergeCell ref="A29:M29"/>
    <mergeCell ref="D15:D16"/>
    <mergeCell ref="L16:L18"/>
    <mergeCell ref="M16:M18"/>
    <mergeCell ref="N16:N18"/>
    <mergeCell ref="A18:E22"/>
    <mergeCell ref="J21:J23"/>
    <mergeCell ref="K21:K23"/>
    <mergeCell ref="E14:E16"/>
    <mergeCell ref="J1:K2"/>
    <mergeCell ref="L4:M5"/>
    <mergeCell ref="J7:K7"/>
    <mergeCell ref="M7:N7"/>
    <mergeCell ref="G12:H14"/>
  </mergeCells>
  <pageMargins left="0.7" right="0.7" top="0.75" bottom="0.75" header="0.3" footer="0.3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D69E-E3DE-4BD7-AC6B-361FA1C48C5B}">
  <dimension ref="B1:B6"/>
  <sheetViews>
    <sheetView workbookViewId="0">
      <selection activeCell="H35" sqref="H35"/>
    </sheetView>
  </sheetViews>
  <sheetFormatPr defaultColWidth="8.88671875" defaultRowHeight="14.4" x14ac:dyDescent="0.3"/>
  <cols>
    <col min="1" max="1" width="13.33203125" customWidth="1"/>
    <col min="2" max="2" width="20.44140625" customWidth="1"/>
  </cols>
  <sheetData>
    <row r="1" spans="2:2" x14ac:dyDescent="0.3">
      <c r="B1" s="89"/>
    </row>
    <row r="2" spans="2:2" x14ac:dyDescent="0.3">
      <c r="B2" s="89"/>
    </row>
    <row r="3" spans="2:2" x14ac:dyDescent="0.3">
      <c r="B3" s="89"/>
    </row>
    <row r="4" spans="2:2" x14ac:dyDescent="0.3">
      <c r="B4" s="89"/>
    </row>
    <row r="5" spans="2:2" x14ac:dyDescent="0.3">
      <c r="B5" s="89"/>
    </row>
    <row r="6" spans="2:2" x14ac:dyDescent="0.3">
      <c r="B6" s="8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fb25fc-3784-47cf-8a82-09f438381668">
      <Terms xmlns="http://schemas.microsoft.com/office/infopath/2007/PartnerControls"/>
    </lcf76f155ced4ddcb4097134ff3c332f>
    <TaxCatchAll xmlns="fc8bd621-3187-492f-a172-823cba7be7d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52EDE2F4945B419B69DE19452F0F16" ma:contentTypeVersion="16" ma:contentTypeDescription="Create a new document." ma:contentTypeScope="" ma:versionID="3316eb75a80975a24122714ed5f06cc6">
  <xsd:schema xmlns:xsd="http://www.w3.org/2001/XMLSchema" xmlns:xs="http://www.w3.org/2001/XMLSchema" xmlns:p="http://schemas.microsoft.com/office/2006/metadata/properties" xmlns:ns2="96fb25fc-3784-47cf-8a82-09f438381668" xmlns:ns3="fc8bd621-3187-492f-a172-823cba7be7d4" targetNamespace="http://schemas.microsoft.com/office/2006/metadata/properties" ma:root="true" ma:fieldsID="0c4fbab3a5d75f9fed625cb0bda077a7" ns2:_="" ns3:_="">
    <xsd:import namespace="96fb25fc-3784-47cf-8a82-09f438381668"/>
    <xsd:import namespace="fc8bd621-3187-492f-a172-823cba7be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b25fc-3784-47cf-8a82-09f438381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8bd621-3187-492f-a172-823cba7be7d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fea4e6-9944-4b0c-974d-0dc698d81eb4}" ma:internalName="TaxCatchAll" ma:showField="CatchAllData" ma:web="fc8bd621-3187-492f-a172-823cba7be7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CA15EA-9E3F-472C-AE7A-DC52430A26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39696D-F5EF-4074-BA8D-369D72C030D3}">
  <ds:schemaRefs>
    <ds:schemaRef ds:uri="http://schemas.microsoft.com/office/2006/metadata/properties"/>
    <ds:schemaRef ds:uri="http://schemas.microsoft.com/office/infopath/2007/PartnerControls"/>
    <ds:schemaRef ds:uri="96fb25fc-3784-47cf-8a82-09f438381668"/>
    <ds:schemaRef ds:uri="fc8bd621-3187-492f-a172-823cba7be7d4"/>
  </ds:schemaRefs>
</ds:datastoreItem>
</file>

<file path=customXml/itemProps3.xml><?xml version="1.0" encoding="utf-8"?>
<ds:datastoreItem xmlns:ds="http://schemas.openxmlformats.org/officeDocument/2006/customXml" ds:itemID="{72382BBC-13EF-470E-86C9-89110DF220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b25fc-3784-47cf-8a82-09f438381668"/>
    <ds:schemaRef ds:uri="fc8bd621-3187-492f-a172-823cba7be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Sml_PpPCO</vt:lpstr>
      <vt:lpstr>Lrg_PpPCO</vt:lpstr>
      <vt:lpstr>GcPCO</vt:lpstr>
      <vt:lpstr>PuPCO</vt:lpstr>
      <vt:lpstr>Sml_FsPCO</vt:lpstr>
      <vt:lpstr>Lrg_FsPCO</vt:lpstr>
      <vt:lpstr>Sheet1</vt:lpstr>
    </vt:vector>
  </TitlesOfParts>
  <Manager/>
  <Company>University of Oxford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 Gunawardana</dc:creator>
  <cp:keywords/>
  <dc:description/>
  <cp:lastModifiedBy>Oliver Eyre</cp:lastModifiedBy>
  <cp:revision/>
  <dcterms:created xsi:type="dcterms:W3CDTF">2022-08-15T11:58:52Z</dcterms:created>
  <dcterms:modified xsi:type="dcterms:W3CDTF">2026-02-10T16:39:43Z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0x0101006D52EDE2F4945B419B69DE19452F0F16</vt:lpwstr>
  </property>
  <property fmtid="{D5CDD505-2E9C-101B-9397-08002B2CF9AE}" pid="3" name="MediaServiceImageTags">
    <vt:lpwstr/>
  </property>
</Properties>
</file>