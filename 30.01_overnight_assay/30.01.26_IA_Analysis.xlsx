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some5458_ox_ac_uk/Documents/Year 4/Data/RF Data/Ollie_30.01_Initial/"/>
    </mc:Choice>
  </mc:AlternateContent>
  <xr:revisionPtr revIDLastSave="1061" documentId="11_F25DC773A252ABDACC104839F91B631A5ADE58E8" xr6:coauthVersionLast="47" xr6:coauthVersionMax="47" xr10:uidLastSave="{7ED48538-78F4-4704-8FBE-268B2158A3E8}"/>
  <bookViews>
    <workbookView minimized="1" xWindow="2856" yWindow="2856" windowWidth="17280" windowHeight="9960" xr2:uid="{00000000-000D-0000-FFFF-FFFF00000000}"/>
  </bookViews>
  <sheets>
    <sheet name="Pp_Sml" sheetId="1" r:id="rId1"/>
    <sheet name="Pp_Lrg" sheetId="2" r:id="rId2"/>
    <sheet name="Pu" sheetId="3" r:id="rId3"/>
    <sheet name="Gc" sheetId="4" r:id="rId4"/>
    <sheet name="Fs_Sml" sheetId="5" r:id="rId5"/>
    <sheet name="Fs_Lr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5" l="1"/>
  <c r="S19" i="3"/>
  <c r="R19" i="5"/>
  <c r="R16" i="1"/>
  <c r="S16" i="1"/>
  <c r="R17" i="1"/>
  <c r="S17" i="1"/>
  <c r="R18" i="1"/>
  <c r="S18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R18" i="4"/>
  <c r="R15" i="4"/>
  <c r="R16" i="4"/>
  <c r="R17" i="4"/>
  <c r="S18" i="4"/>
  <c r="S17" i="4"/>
  <c r="S16" i="4"/>
  <c r="S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R18" i="5"/>
  <c r="R17" i="5"/>
  <c r="R16" i="5"/>
  <c r="R15" i="5"/>
  <c r="R14" i="5"/>
  <c r="R13" i="5"/>
  <c r="R12" i="5"/>
  <c r="R11" i="5"/>
  <c r="R10" i="5"/>
  <c r="R9" i="5"/>
  <c r="O19" i="5"/>
  <c r="O18" i="5"/>
  <c r="O17" i="5"/>
  <c r="O15" i="5"/>
  <c r="O14" i="5"/>
  <c r="O13" i="5"/>
  <c r="O12" i="5"/>
  <c r="O11" i="5"/>
  <c r="O10" i="5"/>
  <c r="O9" i="5"/>
  <c r="N15" i="5"/>
  <c r="N14" i="5"/>
  <c r="N13" i="5"/>
  <c r="N11" i="5"/>
  <c r="N10" i="5"/>
  <c r="N9" i="5"/>
  <c r="S19" i="5"/>
  <c r="S18" i="5"/>
  <c r="S17" i="5"/>
  <c r="S16" i="5"/>
  <c r="S15" i="5"/>
  <c r="S14" i="5"/>
  <c r="S13" i="5"/>
  <c r="S12" i="5"/>
  <c r="S11" i="5"/>
  <c r="S10" i="5"/>
  <c r="S9" i="5"/>
  <c r="S11" i="2"/>
  <c r="S10" i="2"/>
  <c r="S9" i="2"/>
  <c r="S9" i="3"/>
  <c r="R9" i="3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R11" i="2"/>
  <c r="R10" i="2"/>
  <c r="R9" i="2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19" i="6"/>
  <c r="S18" i="6"/>
  <c r="S17" i="6"/>
  <c r="S16" i="6"/>
  <c r="S15" i="6"/>
  <c r="S14" i="6"/>
  <c r="S13" i="6"/>
  <c r="S12" i="6"/>
  <c r="S11" i="6"/>
  <c r="S10" i="6"/>
  <c r="S9" i="6"/>
  <c r="R19" i="6"/>
  <c r="R18" i="6"/>
  <c r="R17" i="6"/>
  <c r="R16" i="6"/>
  <c r="R15" i="6"/>
  <c r="R14" i="6"/>
  <c r="R13" i="6"/>
  <c r="R12" i="6"/>
  <c r="R11" i="6"/>
  <c r="R10" i="6"/>
  <c r="R9" i="6"/>
  <c r="I144" i="1"/>
  <c r="I143" i="1"/>
  <c r="I142" i="1"/>
  <c r="I137" i="1"/>
  <c r="I136" i="1"/>
  <c r="I135" i="1"/>
  <c r="I130" i="1"/>
  <c r="I129" i="1"/>
  <c r="I128" i="1"/>
  <c r="I123" i="1"/>
  <c r="I122" i="1"/>
  <c r="I121" i="1"/>
  <c r="I116" i="1"/>
  <c r="I115" i="1"/>
  <c r="I114" i="1"/>
  <c r="I109" i="1"/>
  <c r="I108" i="1"/>
  <c r="I107" i="1"/>
  <c r="I100" i="1"/>
  <c r="I99" i="1"/>
  <c r="I98" i="1"/>
  <c r="I95" i="1"/>
  <c r="I94" i="1"/>
  <c r="I93" i="1"/>
  <c r="I88" i="1"/>
  <c r="I87" i="1"/>
  <c r="I86" i="1"/>
  <c r="I83" i="1"/>
  <c r="I82" i="1"/>
  <c r="I81" i="1"/>
  <c r="I76" i="1"/>
  <c r="I75" i="1"/>
  <c r="I74" i="1"/>
  <c r="I71" i="1"/>
  <c r="I70" i="1"/>
  <c r="I69" i="1"/>
  <c r="I64" i="1"/>
  <c r="I63" i="1"/>
  <c r="I62" i="1"/>
  <c r="I59" i="1"/>
  <c r="I58" i="1"/>
  <c r="I57" i="1"/>
  <c r="I52" i="1"/>
  <c r="I51" i="1"/>
  <c r="I50" i="1"/>
  <c r="I47" i="1"/>
  <c r="I46" i="1"/>
  <c r="I45" i="1"/>
  <c r="I40" i="1"/>
  <c r="I39" i="1"/>
  <c r="I38" i="1"/>
  <c r="I35" i="1"/>
  <c r="I34" i="1"/>
  <c r="I33" i="1"/>
  <c r="I28" i="1"/>
  <c r="I27" i="1"/>
  <c r="I26" i="1"/>
  <c r="I23" i="1"/>
  <c r="I22" i="1"/>
  <c r="I21" i="1"/>
  <c r="I16" i="1"/>
  <c r="I15" i="1"/>
  <c r="I14" i="1"/>
  <c r="I11" i="1"/>
  <c r="I10" i="1"/>
  <c r="I9" i="1"/>
  <c r="I142" i="2"/>
  <c r="I141" i="2"/>
  <c r="I140" i="2"/>
  <c r="I135" i="2"/>
  <c r="I134" i="2"/>
  <c r="I133" i="2"/>
  <c r="I128" i="2"/>
  <c r="I127" i="2"/>
  <c r="I126" i="2"/>
  <c r="I121" i="2"/>
  <c r="I120" i="2"/>
  <c r="I119" i="2"/>
  <c r="I114" i="2"/>
  <c r="I113" i="2"/>
  <c r="I112" i="2"/>
  <c r="I107" i="2"/>
  <c r="I106" i="2"/>
  <c r="I105" i="2"/>
  <c r="I98" i="2"/>
  <c r="I97" i="2"/>
  <c r="I96" i="2"/>
  <c r="I93" i="2"/>
  <c r="I92" i="2"/>
  <c r="I91" i="2"/>
  <c r="I86" i="2"/>
  <c r="I85" i="2"/>
  <c r="I84" i="2"/>
  <c r="I81" i="2"/>
  <c r="I80" i="2"/>
  <c r="I79" i="2"/>
  <c r="I74" i="2"/>
  <c r="I73" i="2"/>
  <c r="I72" i="2"/>
  <c r="I69" i="2"/>
  <c r="I68" i="2"/>
  <c r="I67" i="2"/>
  <c r="I62" i="2"/>
  <c r="I61" i="2"/>
  <c r="I60" i="2"/>
  <c r="I57" i="2"/>
  <c r="I56" i="2"/>
  <c r="I55" i="2"/>
  <c r="I50" i="2"/>
  <c r="I49" i="2"/>
  <c r="I48" i="2"/>
  <c r="I45" i="2"/>
  <c r="I44" i="2"/>
  <c r="I43" i="2"/>
  <c r="I38" i="2"/>
  <c r="I37" i="2"/>
  <c r="I36" i="2"/>
  <c r="I33" i="2"/>
  <c r="I32" i="2"/>
  <c r="I31" i="2"/>
  <c r="I26" i="2"/>
  <c r="I25" i="2"/>
  <c r="I24" i="2"/>
  <c r="I21" i="2"/>
  <c r="I20" i="2"/>
  <c r="I19" i="2"/>
  <c r="I14" i="2"/>
  <c r="I13" i="2"/>
  <c r="I12" i="2"/>
  <c r="I9" i="2"/>
  <c r="I8" i="2"/>
  <c r="I7" i="2"/>
  <c r="I142" i="3"/>
  <c r="I141" i="3"/>
  <c r="I140" i="3"/>
  <c r="I135" i="3"/>
  <c r="I134" i="3"/>
  <c r="I133" i="3"/>
  <c r="I128" i="3"/>
  <c r="I127" i="3"/>
  <c r="I126" i="3"/>
  <c r="I121" i="3"/>
  <c r="I120" i="3"/>
  <c r="I119" i="3"/>
  <c r="I114" i="3"/>
  <c r="I113" i="3"/>
  <c r="I112" i="3"/>
  <c r="I107" i="3"/>
  <c r="I106" i="3"/>
  <c r="I105" i="3"/>
  <c r="I98" i="3"/>
  <c r="I97" i="3"/>
  <c r="I96" i="3"/>
  <c r="I93" i="3"/>
  <c r="I92" i="3"/>
  <c r="I91" i="3"/>
  <c r="I86" i="3"/>
  <c r="I85" i="3"/>
  <c r="I84" i="3"/>
  <c r="I81" i="3"/>
  <c r="I80" i="3"/>
  <c r="I79" i="3"/>
  <c r="I74" i="3"/>
  <c r="I73" i="3"/>
  <c r="I72" i="3"/>
  <c r="I69" i="3"/>
  <c r="I68" i="3"/>
  <c r="I67" i="3"/>
  <c r="I62" i="3"/>
  <c r="I61" i="3"/>
  <c r="I60" i="3"/>
  <c r="I57" i="3"/>
  <c r="I56" i="3"/>
  <c r="I55" i="3"/>
  <c r="I50" i="3"/>
  <c r="I49" i="3"/>
  <c r="I48" i="3"/>
  <c r="I45" i="3"/>
  <c r="I44" i="3"/>
  <c r="I43" i="3"/>
  <c r="I38" i="3"/>
  <c r="I37" i="3"/>
  <c r="I36" i="3"/>
  <c r="I33" i="3"/>
  <c r="I32" i="3"/>
  <c r="I31" i="3"/>
  <c r="I26" i="3"/>
  <c r="I25" i="3"/>
  <c r="I24" i="3"/>
  <c r="I21" i="3"/>
  <c r="I20" i="3"/>
  <c r="I19" i="3"/>
  <c r="I14" i="3"/>
  <c r="I13" i="3"/>
  <c r="I12" i="3"/>
  <c r="I9" i="3"/>
  <c r="I8" i="3"/>
  <c r="I7" i="3"/>
  <c r="I144" i="4"/>
  <c r="I143" i="4"/>
  <c r="I142" i="4"/>
  <c r="I137" i="4"/>
  <c r="I136" i="4"/>
  <c r="I135" i="4"/>
  <c r="I130" i="4"/>
  <c r="I129" i="4"/>
  <c r="I128" i="4"/>
  <c r="I123" i="4"/>
  <c r="I122" i="4"/>
  <c r="I121" i="4"/>
  <c r="I116" i="4"/>
  <c r="I115" i="4"/>
  <c r="I114" i="4"/>
  <c r="I109" i="4"/>
  <c r="I108" i="4"/>
  <c r="I107" i="4"/>
  <c r="I100" i="4"/>
  <c r="I99" i="4"/>
  <c r="I98" i="4"/>
  <c r="I95" i="4"/>
  <c r="I94" i="4"/>
  <c r="I93" i="4"/>
  <c r="I88" i="4"/>
  <c r="I87" i="4"/>
  <c r="I86" i="4"/>
  <c r="I83" i="4"/>
  <c r="I82" i="4"/>
  <c r="I81" i="4"/>
  <c r="I76" i="4"/>
  <c r="I75" i="4"/>
  <c r="I74" i="4"/>
  <c r="I71" i="4"/>
  <c r="I70" i="4"/>
  <c r="I69" i="4"/>
  <c r="I64" i="4"/>
  <c r="I63" i="4"/>
  <c r="I62" i="4"/>
  <c r="I59" i="4"/>
  <c r="I58" i="4"/>
  <c r="I57" i="4"/>
  <c r="I52" i="4"/>
  <c r="I51" i="4"/>
  <c r="I50" i="4"/>
  <c r="I47" i="4"/>
  <c r="I46" i="4"/>
  <c r="I45" i="4"/>
  <c r="I40" i="4"/>
  <c r="I39" i="4"/>
  <c r="I38" i="4"/>
  <c r="I35" i="4"/>
  <c r="I34" i="4"/>
  <c r="I33" i="4"/>
  <c r="I28" i="4"/>
  <c r="I27" i="4"/>
  <c r="I26" i="4"/>
  <c r="I23" i="4"/>
  <c r="I22" i="4"/>
  <c r="I21" i="4"/>
  <c r="I16" i="4"/>
  <c r="I15" i="4"/>
  <c r="I14" i="4"/>
  <c r="I11" i="4"/>
  <c r="I10" i="4"/>
  <c r="I9" i="4"/>
  <c r="I142" i="6"/>
  <c r="I141" i="6"/>
  <c r="I140" i="6"/>
  <c r="I135" i="6"/>
  <c r="I134" i="6"/>
  <c r="I133" i="6"/>
  <c r="I128" i="6"/>
  <c r="I127" i="6"/>
  <c r="I126" i="6"/>
  <c r="I121" i="6"/>
  <c r="I120" i="6"/>
  <c r="I119" i="6"/>
  <c r="I114" i="6"/>
  <c r="I113" i="6"/>
  <c r="I112" i="6"/>
  <c r="I107" i="6"/>
  <c r="I106" i="6"/>
  <c r="I105" i="6"/>
  <c r="I98" i="6"/>
  <c r="I97" i="6"/>
  <c r="I96" i="6"/>
  <c r="I93" i="6"/>
  <c r="I92" i="6"/>
  <c r="I91" i="6"/>
  <c r="I86" i="6"/>
  <c r="I85" i="6"/>
  <c r="I84" i="6"/>
  <c r="I81" i="6"/>
  <c r="I80" i="6"/>
  <c r="I79" i="6"/>
  <c r="I74" i="6"/>
  <c r="I73" i="6"/>
  <c r="I72" i="6"/>
  <c r="I69" i="6"/>
  <c r="I68" i="6"/>
  <c r="I67" i="6"/>
  <c r="I62" i="6"/>
  <c r="I61" i="6"/>
  <c r="I60" i="6"/>
  <c r="I57" i="6"/>
  <c r="I56" i="6"/>
  <c r="I55" i="6"/>
  <c r="I50" i="6"/>
  <c r="I49" i="6"/>
  <c r="I48" i="6"/>
  <c r="I45" i="6"/>
  <c r="I44" i="6"/>
  <c r="I43" i="6"/>
  <c r="I38" i="6"/>
  <c r="I37" i="6"/>
  <c r="I36" i="6"/>
  <c r="I33" i="6"/>
  <c r="I32" i="6"/>
  <c r="I31" i="6"/>
  <c r="I26" i="6"/>
  <c r="I25" i="6"/>
  <c r="I24" i="6"/>
  <c r="I21" i="6"/>
  <c r="I20" i="6"/>
  <c r="I19" i="6"/>
  <c r="I14" i="6"/>
  <c r="I13" i="6"/>
  <c r="I12" i="6"/>
  <c r="I9" i="6"/>
  <c r="I8" i="6"/>
  <c r="I7" i="6"/>
  <c r="I144" i="5"/>
  <c r="I143" i="5"/>
  <c r="I142" i="5"/>
  <c r="I137" i="5"/>
  <c r="I136" i="5"/>
  <c r="I135" i="5"/>
  <c r="I130" i="5"/>
  <c r="I129" i="5"/>
  <c r="I128" i="5"/>
  <c r="I123" i="5"/>
  <c r="I122" i="5"/>
  <c r="I121" i="5"/>
  <c r="I116" i="5"/>
  <c r="I115" i="5"/>
  <c r="I114" i="5"/>
  <c r="I109" i="5"/>
  <c r="I108" i="5"/>
  <c r="I107" i="5"/>
  <c r="I100" i="5"/>
  <c r="I99" i="5"/>
  <c r="I98" i="5"/>
  <c r="I95" i="5"/>
  <c r="I94" i="5"/>
  <c r="I93" i="5"/>
  <c r="I88" i="5"/>
  <c r="I87" i="5"/>
  <c r="I86" i="5"/>
  <c r="I83" i="5"/>
  <c r="I82" i="5"/>
  <c r="I81" i="5"/>
  <c r="I76" i="5"/>
  <c r="I75" i="5"/>
  <c r="I74" i="5"/>
  <c r="I71" i="5"/>
  <c r="I70" i="5"/>
  <c r="I69" i="5"/>
  <c r="I64" i="5"/>
  <c r="I63" i="5"/>
  <c r="I62" i="5"/>
  <c r="I59" i="5"/>
  <c r="I58" i="5"/>
  <c r="I57" i="5"/>
  <c r="I52" i="5"/>
  <c r="I51" i="5"/>
  <c r="I50" i="5"/>
  <c r="I47" i="5"/>
  <c r="I46" i="5"/>
  <c r="I45" i="5"/>
  <c r="I40" i="5"/>
  <c r="I39" i="5"/>
  <c r="I38" i="5"/>
  <c r="I35" i="5"/>
  <c r="I34" i="5"/>
  <c r="I33" i="5"/>
  <c r="I28" i="5"/>
  <c r="I27" i="5"/>
  <c r="I26" i="5"/>
  <c r="I23" i="5"/>
  <c r="I22" i="5"/>
  <c r="I21" i="5"/>
  <c r="I16" i="5"/>
  <c r="I15" i="5"/>
  <c r="I14" i="5"/>
  <c r="I11" i="5"/>
  <c r="I10" i="5"/>
  <c r="I9" i="5"/>
  <c r="J9" i="5"/>
  <c r="O18" i="4" l="1"/>
  <c r="J142" i="6"/>
  <c r="J141" i="6"/>
  <c r="J140" i="6"/>
  <c r="J135" i="6"/>
  <c r="K135" i="6" s="1"/>
  <c r="J134" i="6"/>
  <c r="K134" i="6" s="1"/>
  <c r="J133" i="6"/>
  <c r="K133" i="6" s="1"/>
  <c r="J128" i="6"/>
  <c r="K128" i="6" s="1"/>
  <c r="J127" i="6"/>
  <c r="K127" i="6" s="1"/>
  <c r="J126" i="6"/>
  <c r="J121" i="6"/>
  <c r="J120" i="6"/>
  <c r="J119" i="6"/>
  <c r="J114" i="6"/>
  <c r="K114" i="6" s="1"/>
  <c r="J113" i="6"/>
  <c r="K113" i="6" s="1"/>
  <c r="J112" i="6"/>
  <c r="K112" i="6" s="1"/>
  <c r="J107" i="6"/>
  <c r="J106" i="6"/>
  <c r="J105" i="6"/>
  <c r="J98" i="6"/>
  <c r="J97" i="6"/>
  <c r="K97" i="6" s="1"/>
  <c r="J96" i="6"/>
  <c r="K96" i="6" s="1"/>
  <c r="J93" i="6"/>
  <c r="K93" i="6" s="1"/>
  <c r="J92" i="6"/>
  <c r="K92" i="6" s="1"/>
  <c r="J91" i="6"/>
  <c r="K91" i="6" s="1"/>
  <c r="J86" i="6"/>
  <c r="J85" i="6"/>
  <c r="J84" i="6"/>
  <c r="J81" i="6"/>
  <c r="J80" i="6"/>
  <c r="K80" i="6" s="1"/>
  <c r="J79" i="6"/>
  <c r="K79" i="6" s="1"/>
  <c r="J74" i="6"/>
  <c r="K74" i="6" s="1"/>
  <c r="J73" i="6"/>
  <c r="J72" i="6"/>
  <c r="J69" i="6"/>
  <c r="J68" i="6"/>
  <c r="J67" i="6"/>
  <c r="K67" i="6" s="1"/>
  <c r="J62" i="6"/>
  <c r="K62" i="6" s="1"/>
  <c r="J61" i="6"/>
  <c r="K61" i="6" s="1"/>
  <c r="J60" i="6"/>
  <c r="K60" i="6" s="1"/>
  <c r="J57" i="6"/>
  <c r="K57" i="6" s="1"/>
  <c r="J56" i="6"/>
  <c r="J55" i="6"/>
  <c r="J50" i="6"/>
  <c r="J49" i="6"/>
  <c r="J48" i="6"/>
  <c r="K48" i="6" s="1"/>
  <c r="J45" i="6"/>
  <c r="K45" i="6" s="1"/>
  <c r="J44" i="6"/>
  <c r="K44" i="6" s="1"/>
  <c r="O12" i="6" s="1"/>
  <c r="J43" i="6"/>
  <c r="J38" i="6"/>
  <c r="J37" i="6"/>
  <c r="J36" i="6"/>
  <c r="J33" i="6"/>
  <c r="K33" i="6" s="1"/>
  <c r="J32" i="6"/>
  <c r="K32" i="6" s="1"/>
  <c r="J31" i="6"/>
  <c r="K31" i="6" s="1"/>
  <c r="J26" i="6"/>
  <c r="K26" i="6" s="1"/>
  <c r="J25" i="6"/>
  <c r="K25" i="6" s="1"/>
  <c r="J24" i="6"/>
  <c r="J21" i="6"/>
  <c r="J20" i="6"/>
  <c r="J19" i="6"/>
  <c r="J14" i="6"/>
  <c r="J13" i="6"/>
  <c r="J12" i="6"/>
  <c r="K12" i="6" s="1"/>
  <c r="J9" i="6"/>
  <c r="J8" i="6"/>
  <c r="K8" i="6" s="1"/>
  <c r="J7" i="6"/>
  <c r="K7" i="6" s="1"/>
  <c r="N9" i="6" s="1"/>
  <c r="J144" i="1"/>
  <c r="J143" i="1"/>
  <c r="J142" i="1"/>
  <c r="J137" i="1"/>
  <c r="K137" i="1" s="1"/>
  <c r="J136" i="1"/>
  <c r="K136" i="1" s="1"/>
  <c r="J135" i="1"/>
  <c r="J130" i="1"/>
  <c r="K130" i="1" s="1"/>
  <c r="J129" i="1"/>
  <c r="J128" i="1"/>
  <c r="J123" i="1"/>
  <c r="K123" i="1" s="1"/>
  <c r="J122" i="1"/>
  <c r="K122" i="1" s="1"/>
  <c r="J121" i="1"/>
  <c r="K121" i="1" s="1"/>
  <c r="N17" i="1" s="1"/>
  <c r="J116" i="1"/>
  <c r="K116" i="1" s="1"/>
  <c r="J115" i="1"/>
  <c r="J114" i="1"/>
  <c r="K114" i="1" s="1"/>
  <c r="J109" i="1"/>
  <c r="K109" i="1" s="1"/>
  <c r="J108" i="1"/>
  <c r="J107" i="1"/>
  <c r="J100" i="1"/>
  <c r="K100" i="1" s="1"/>
  <c r="J99" i="1"/>
  <c r="K99" i="1" s="1"/>
  <c r="J98" i="1"/>
  <c r="K98" i="1" s="1"/>
  <c r="J95" i="1"/>
  <c r="J94" i="1"/>
  <c r="J93" i="1"/>
  <c r="J88" i="1"/>
  <c r="J87" i="1"/>
  <c r="J86" i="1"/>
  <c r="K86" i="1" s="1"/>
  <c r="J83" i="1"/>
  <c r="K83" i="1" s="1"/>
  <c r="J82" i="1"/>
  <c r="K82" i="1" s="1"/>
  <c r="O14" i="1" s="1"/>
  <c r="J81" i="1"/>
  <c r="J76" i="1"/>
  <c r="K76" i="1" s="1"/>
  <c r="J75" i="1"/>
  <c r="K75" i="1" s="1"/>
  <c r="J74" i="1"/>
  <c r="J71" i="1"/>
  <c r="K71" i="1" s="1"/>
  <c r="J70" i="1"/>
  <c r="J69" i="1"/>
  <c r="J64" i="1"/>
  <c r="J63" i="1"/>
  <c r="J62" i="1"/>
  <c r="J59" i="1"/>
  <c r="J58" i="1"/>
  <c r="J57" i="1"/>
  <c r="J52" i="1"/>
  <c r="K52" i="1" s="1"/>
  <c r="J51" i="1"/>
  <c r="K51" i="1" s="1"/>
  <c r="J50" i="1"/>
  <c r="K50" i="1" s="1"/>
  <c r="J47" i="1"/>
  <c r="J46" i="1"/>
  <c r="K46" i="1" s="1"/>
  <c r="J45" i="1"/>
  <c r="K45" i="1" s="1"/>
  <c r="J40" i="1"/>
  <c r="J39" i="1"/>
  <c r="K39" i="1" s="1"/>
  <c r="J38" i="1"/>
  <c r="J35" i="1"/>
  <c r="J34" i="1"/>
  <c r="J33" i="1"/>
  <c r="J28" i="1"/>
  <c r="J27" i="1"/>
  <c r="J26" i="1"/>
  <c r="J23" i="1"/>
  <c r="K23" i="1" s="1"/>
  <c r="J22" i="1"/>
  <c r="K22" i="1" s="1"/>
  <c r="J21" i="1"/>
  <c r="K21" i="1" s="1"/>
  <c r="J16" i="1"/>
  <c r="K16" i="1" s="1"/>
  <c r="J15" i="1"/>
  <c r="J14" i="1"/>
  <c r="K14" i="1" s="1"/>
  <c r="J11" i="1"/>
  <c r="K11" i="1" s="1"/>
  <c r="J10" i="1"/>
  <c r="J9" i="1"/>
  <c r="K9" i="1" s="1"/>
  <c r="J142" i="2"/>
  <c r="J141" i="2"/>
  <c r="J140" i="2"/>
  <c r="K140" i="2" s="1"/>
  <c r="J135" i="2"/>
  <c r="J134" i="2"/>
  <c r="K134" i="2" s="1"/>
  <c r="J133" i="2"/>
  <c r="K133" i="2" s="1"/>
  <c r="J128" i="2"/>
  <c r="K128" i="2" s="1"/>
  <c r="J127" i="2"/>
  <c r="K127" i="2" s="1"/>
  <c r="J126" i="2"/>
  <c r="J121" i="2"/>
  <c r="J120" i="2"/>
  <c r="K120" i="2" s="1"/>
  <c r="J119" i="2"/>
  <c r="K119" i="2" s="1"/>
  <c r="J114" i="2"/>
  <c r="K114" i="2" s="1"/>
  <c r="J113" i="2"/>
  <c r="K113" i="2" s="1"/>
  <c r="J112" i="2"/>
  <c r="K112" i="2" s="1"/>
  <c r="J107" i="2"/>
  <c r="K107" i="2" s="1"/>
  <c r="J106" i="2"/>
  <c r="J105" i="2"/>
  <c r="J98" i="2"/>
  <c r="K98" i="2" s="1"/>
  <c r="J97" i="2"/>
  <c r="K97" i="2" s="1"/>
  <c r="J96" i="2"/>
  <c r="K96" i="2" s="1"/>
  <c r="J93" i="2"/>
  <c r="K93" i="2" s="1"/>
  <c r="J92" i="2"/>
  <c r="K92" i="2" s="1"/>
  <c r="J91" i="2"/>
  <c r="K91" i="2" s="1"/>
  <c r="J86" i="2"/>
  <c r="J85" i="2"/>
  <c r="J84" i="2"/>
  <c r="J81" i="2"/>
  <c r="J80" i="2"/>
  <c r="K80" i="2" s="1"/>
  <c r="J79" i="2"/>
  <c r="K79" i="2" s="1"/>
  <c r="J74" i="2"/>
  <c r="K74" i="2" s="1"/>
  <c r="J73" i="2"/>
  <c r="K73" i="2" s="1"/>
  <c r="J72" i="2"/>
  <c r="J69" i="2"/>
  <c r="J68" i="2"/>
  <c r="J67" i="2"/>
  <c r="J62" i="2"/>
  <c r="K62" i="2" s="1"/>
  <c r="J61" i="2"/>
  <c r="K61" i="2" s="1"/>
  <c r="J60" i="2"/>
  <c r="K60" i="2" s="1"/>
  <c r="J57" i="2"/>
  <c r="K57" i="2" s="1"/>
  <c r="J56" i="2"/>
  <c r="J55" i="2"/>
  <c r="J50" i="2"/>
  <c r="J49" i="2"/>
  <c r="J48" i="2"/>
  <c r="J45" i="2"/>
  <c r="K45" i="2" s="1"/>
  <c r="J44" i="2"/>
  <c r="K44" i="2" s="1"/>
  <c r="J43" i="2"/>
  <c r="K43" i="2" s="1"/>
  <c r="J38" i="2"/>
  <c r="J37" i="2"/>
  <c r="J36" i="2"/>
  <c r="J33" i="2"/>
  <c r="J32" i="2"/>
  <c r="J31" i="2"/>
  <c r="K31" i="2" s="1"/>
  <c r="J26" i="2"/>
  <c r="K26" i="2" s="1"/>
  <c r="J25" i="2"/>
  <c r="K25" i="2" s="1"/>
  <c r="J24" i="2"/>
  <c r="J21" i="2"/>
  <c r="J20" i="2"/>
  <c r="J19" i="2"/>
  <c r="J14" i="2"/>
  <c r="J13" i="2"/>
  <c r="K13" i="2" s="1"/>
  <c r="J12" i="2"/>
  <c r="K12" i="2" s="1"/>
  <c r="J9" i="2"/>
  <c r="K9" i="2" s="1"/>
  <c r="J8" i="2"/>
  <c r="J7" i="2"/>
  <c r="J142" i="3"/>
  <c r="J141" i="3"/>
  <c r="K141" i="3" s="1"/>
  <c r="J140" i="3"/>
  <c r="K140" i="3" s="1"/>
  <c r="J135" i="3"/>
  <c r="J134" i="3"/>
  <c r="J133" i="3"/>
  <c r="K133" i="3" s="1"/>
  <c r="J128" i="3"/>
  <c r="J127" i="3"/>
  <c r="J126" i="3"/>
  <c r="J121" i="3"/>
  <c r="J120" i="3"/>
  <c r="J119" i="3"/>
  <c r="J114" i="3"/>
  <c r="J113" i="3"/>
  <c r="J112" i="3"/>
  <c r="K112" i="3" s="1"/>
  <c r="J107" i="3"/>
  <c r="J106" i="3"/>
  <c r="J105" i="3"/>
  <c r="K105" i="3" s="1"/>
  <c r="J98" i="3"/>
  <c r="K98" i="3" s="1"/>
  <c r="J97" i="3"/>
  <c r="K97" i="3" s="1"/>
  <c r="J96" i="3"/>
  <c r="J93" i="3"/>
  <c r="K93" i="3" s="1"/>
  <c r="J92" i="3"/>
  <c r="J91" i="3"/>
  <c r="J86" i="3"/>
  <c r="K86" i="3" s="1"/>
  <c r="J85" i="3"/>
  <c r="K85" i="3" s="1"/>
  <c r="J84" i="3"/>
  <c r="K84" i="3" s="1"/>
  <c r="J81" i="3"/>
  <c r="J80" i="3"/>
  <c r="J79" i="3"/>
  <c r="J74" i="3"/>
  <c r="J73" i="3"/>
  <c r="J72" i="3"/>
  <c r="J69" i="3"/>
  <c r="K69" i="3" s="1"/>
  <c r="J68" i="3"/>
  <c r="J67" i="3"/>
  <c r="K67" i="3" s="1"/>
  <c r="J62" i="3"/>
  <c r="J61" i="3"/>
  <c r="K61" i="3" s="1"/>
  <c r="J60" i="3"/>
  <c r="J57" i="3"/>
  <c r="J56" i="3"/>
  <c r="J55" i="3"/>
  <c r="J50" i="3"/>
  <c r="J49" i="3"/>
  <c r="J48" i="3"/>
  <c r="J45" i="3"/>
  <c r="J44" i="3"/>
  <c r="J43" i="3"/>
  <c r="J38" i="3"/>
  <c r="J37" i="3"/>
  <c r="K37" i="3" s="1"/>
  <c r="J36" i="3"/>
  <c r="J33" i="3"/>
  <c r="K33" i="3" s="1"/>
  <c r="J32" i="3"/>
  <c r="J31" i="3"/>
  <c r="K31" i="3" s="1"/>
  <c r="J26" i="3"/>
  <c r="J25" i="3"/>
  <c r="J24" i="3"/>
  <c r="J21" i="3"/>
  <c r="J20" i="3"/>
  <c r="J19" i="3"/>
  <c r="J14" i="3"/>
  <c r="J13" i="3"/>
  <c r="J12" i="3"/>
  <c r="K12" i="3" s="1"/>
  <c r="J9" i="3"/>
  <c r="J8" i="3"/>
  <c r="J7" i="3"/>
  <c r="K7" i="3" s="1"/>
  <c r="J144" i="4"/>
  <c r="K144" i="4" s="1"/>
  <c r="J143" i="4"/>
  <c r="K143" i="4" s="1"/>
  <c r="J142" i="4"/>
  <c r="K142" i="4" s="1"/>
  <c r="J137" i="4"/>
  <c r="J136" i="4"/>
  <c r="J135" i="4"/>
  <c r="K135" i="4" s="1"/>
  <c r="J130" i="4"/>
  <c r="K130" i="4" s="1"/>
  <c r="J129" i="4"/>
  <c r="K129" i="4" s="1"/>
  <c r="J128" i="4"/>
  <c r="K128" i="4" s="1"/>
  <c r="J123" i="4"/>
  <c r="K123" i="4" s="1"/>
  <c r="J122" i="4"/>
  <c r="J121" i="4"/>
  <c r="J116" i="4"/>
  <c r="J115" i="4"/>
  <c r="J114" i="4"/>
  <c r="K114" i="4" s="1"/>
  <c r="J109" i="4"/>
  <c r="J108" i="4"/>
  <c r="K108" i="4" s="1"/>
  <c r="J107" i="4"/>
  <c r="K107" i="4" s="1"/>
  <c r="J100" i="4"/>
  <c r="K100" i="4" s="1"/>
  <c r="J99" i="4"/>
  <c r="J98" i="4"/>
  <c r="K98" i="4" s="1"/>
  <c r="J95" i="4"/>
  <c r="K95" i="4" s="1"/>
  <c r="J94" i="4"/>
  <c r="K94" i="4" s="1"/>
  <c r="J93" i="4"/>
  <c r="K93" i="4" s="1"/>
  <c r="J88" i="4"/>
  <c r="K88" i="4" s="1"/>
  <c r="J87" i="4"/>
  <c r="K87" i="4" s="1"/>
  <c r="J86" i="4"/>
  <c r="J83" i="4"/>
  <c r="J82" i="4"/>
  <c r="J81" i="4"/>
  <c r="J76" i="4"/>
  <c r="J75" i="4"/>
  <c r="J74" i="4"/>
  <c r="K74" i="4" s="1"/>
  <c r="J71" i="4"/>
  <c r="K71" i="4" s="1"/>
  <c r="J70" i="4"/>
  <c r="K70" i="4" s="1"/>
  <c r="N13" i="4" s="1"/>
  <c r="J69" i="4"/>
  <c r="J64" i="4"/>
  <c r="K64" i="4" s="1"/>
  <c r="J63" i="4"/>
  <c r="K63" i="4" s="1"/>
  <c r="J62" i="4"/>
  <c r="K62" i="4" s="1"/>
  <c r="J52" i="4"/>
  <c r="K52" i="4" s="1"/>
  <c r="J51" i="4"/>
  <c r="K51" i="4" s="1"/>
  <c r="J50" i="4"/>
  <c r="K50" i="4" s="1"/>
  <c r="J59" i="4"/>
  <c r="J58" i="4"/>
  <c r="J57" i="4"/>
  <c r="K57" i="4" s="1"/>
  <c r="O12" i="4" s="1"/>
  <c r="J47" i="4"/>
  <c r="J46" i="4"/>
  <c r="J45" i="4"/>
  <c r="J40" i="4"/>
  <c r="J39" i="4"/>
  <c r="K39" i="4" s="1"/>
  <c r="J38" i="4"/>
  <c r="K38" i="4" s="1"/>
  <c r="J35" i="4"/>
  <c r="K35" i="4" s="1"/>
  <c r="J34" i="4"/>
  <c r="K34" i="4" s="1"/>
  <c r="J33" i="4"/>
  <c r="K33" i="4" s="1"/>
  <c r="O10" i="4" s="1"/>
  <c r="J28" i="4"/>
  <c r="K28" i="4" s="1"/>
  <c r="J27" i="4"/>
  <c r="K27" i="4" s="1"/>
  <c r="J26" i="4"/>
  <c r="K26" i="4" s="1"/>
  <c r="J23" i="4"/>
  <c r="K23" i="4" s="1"/>
  <c r="O9" i="4" s="1"/>
  <c r="J22" i="4"/>
  <c r="K22" i="4" s="1"/>
  <c r="J21" i="4"/>
  <c r="K21" i="4" s="1"/>
  <c r="J16" i="4"/>
  <c r="J15" i="4"/>
  <c r="J14" i="4"/>
  <c r="K14" i="4" s="1"/>
  <c r="J11" i="4"/>
  <c r="J10" i="4"/>
  <c r="J9" i="4"/>
  <c r="J144" i="5"/>
  <c r="K144" i="5" s="1"/>
  <c r="J143" i="5"/>
  <c r="K143" i="5" s="1"/>
  <c r="J142" i="5"/>
  <c r="J137" i="5"/>
  <c r="J136" i="5"/>
  <c r="J135" i="5"/>
  <c r="J130" i="5"/>
  <c r="J129" i="5"/>
  <c r="J128" i="5"/>
  <c r="J123" i="5"/>
  <c r="J122" i="5"/>
  <c r="K122" i="5" s="1"/>
  <c r="J121" i="5"/>
  <c r="K121" i="5" s="1"/>
  <c r="J116" i="5"/>
  <c r="J115" i="5"/>
  <c r="J114" i="5"/>
  <c r="J109" i="5"/>
  <c r="K109" i="5" s="1"/>
  <c r="N17" i="5" s="1"/>
  <c r="J108" i="5"/>
  <c r="K108" i="5" s="1"/>
  <c r="J107" i="5"/>
  <c r="K107" i="5" s="1"/>
  <c r="J100" i="5"/>
  <c r="J99" i="5"/>
  <c r="J98" i="5"/>
  <c r="J95" i="5"/>
  <c r="J94" i="5"/>
  <c r="J93" i="5"/>
  <c r="J83" i="5"/>
  <c r="K83" i="5" s="1"/>
  <c r="J82" i="5"/>
  <c r="J81" i="5"/>
  <c r="J71" i="5"/>
  <c r="K71" i="5" s="1"/>
  <c r="J70" i="5"/>
  <c r="J69" i="5"/>
  <c r="K69" i="5" s="1"/>
  <c r="J59" i="5"/>
  <c r="K59" i="5" s="1"/>
  <c r="J58" i="5"/>
  <c r="K58" i="5" s="1"/>
  <c r="J57" i="5"/>
  <c r="K57" i="5" s="1"/>
  <c r="J47" i="5"/>
  <c r="K47" i="5" s="1"/>
  <c r="J46" i="5"/>
  <c r="K46" i="5" s="1"/>
  <c r="J45" i="5"/>
  <c r="K45" i="5" s="1"/>
  <c r="J35" i="5"/>
  <c r="J34" i="5"/>
  <c r="J33" i="5"/>
  <c r="J23" i="5"/>
  <c r="K23" i="5" s="1"/>
  <c r="J22" i="5"/>
  <c r="J21" i="5"/>
  <c r="J10" i="5"/>
  <c r="J11" i="5"/>
  <c r="K11" i="5" s="1"/>
  <c r="N17" i="6"/>
  <c r="K142" i="6"/>
  <c r="K141" i="6"/>
  <c r="K140" i="6"/>
  <c r="K126" i="6"/>
  <c r="K121" i="6"/>
  <c r="K120" i="6"/>
  <c r="K119" i="6"/>
  <c r="O18" i="6" s="1"/>
  <c r="K107" i="6"/>
  <c r="K106" i="6"/>
  <c r="K105" i="6"/>
  <c r="O17" i="6" s="1"/>
  <c r="K98" i="6"/>
  <c r="K86" i="6"/>
  <c r="K85" i="6"/>
  <c r="K84" i="6"/>
  <c r="K81" i="6"/>
  <c r="K73" i="6"/>
  <c r="K72" i="6"/>
  <c r="K69" i="6"/>
  <c r="K68" i="6"/>
  <c r="K56" i="6"/>
  <c r="K55" i="6"/>
  <c r="O13" i="6" s="1"/>
  <c r="K50" i="6"/>
  <c r="K49" i="6"/>
  <c r="K43" i="6"/>
  <c r="K38" i="6"/>
  <c r="K37" i="6"/>
  <c r="K36" i="6"/>
  <c r="K24" i="6"/>
  <c r="K21" i="6"/>
  <c r="K20" i="6"/>
  <c r="K19" i="6"/>
  <c r="K14" i="6"/>
  <c r="K13" i="6"/>
  <c r="K9" i="6"/>
  <c r="K142" i="5"/>
  <c r="K137" i="5"/>
  <c r="K136" i="5"/>
  <c r="K135" i="5"/>
  <c r="N19" i="5" s="1"/>
  <c r="K130" i="5"/>
  <c r="K129" i="5"/>
  <c r="K128" i="5"/>
  <c r="K123" i="5"/>
  <c r="N18" i="5" s="1"/>
  <c r="K116" i="5"/>
  <c r="K115" i="5"/>
  <c r="K114" i="5"/>
  <c r="K100" i="5"/>
  <c r="K99" i="5"/>
  <c r="K98" i="5"/>
  <c r="K95" i="5"/>
  <c r="N16" i="5" s="1"/>
  <c r="K94" i="5"/>
  <c r="K93" i="5"/>
  <c r="K82" i="5"/>
  <c r="K81" i="5"/>
  <c r="K70" i="5"/>
  <c r="K35" i="5"/>
  <c r="K34" i="5"/>
  <c r="K33" i="5"/>
  <c r="K22" i="5"/>
  <c r="K21" i="5"/>
  <c r="K10" i="5"/>
  <c r="K9" i="5"/>
  <c r="K137" i="4"/>
  <c r="K136" i="4"/>
  <c r="K122" i="4"/>
  <c r="K121" i="4"/>
  <c r="K116" i="4"/>
  <c r="K115" i="4"/>
  <c r="K109" i="4"/>
  <c r="K99" i="4"/>
  <c r="K86" i="4"/>
  <c r="K83" i="4"/>
  <c r="K82" i="4"/>
  <c r="K81" i="4"/>
  <c r="N14" i="4" s="1"/>
  <c r="K76" i="4"/>
  <c r="K75" i="4"/>
  <c r="K69" i="4"/>
  <c r="K59" i="4"/>
  <c r="K58" i="4"/>
  <c r="K47" i="4"/>
  <c r="K46" i="4"/>
  <c r="K45" i="4"/>
  <c r="O11" i="4" s="1"/>
  <c r="K40" i="4"/>
  <c r="K16" i="4"/>
  <c r="K15" i="4"/>
  <c r="K11" i="4"/>
  <c r="K10" i="4"/>
  <c r="K9" i="4"/>
  <c r="N8" i="4" s="1"/>
  <c r="K142" i="3"/>
  <c r="K135" i="3"/>
  <c r="K134" i="3"/>
  <c r="K128" i="3"/>
  <c r="K127" i="3"/>
  <c r="K126" i="3"/>
  <c r="K121" i="3"/>
  <c r="K120" i="3"/>
  <c r="K119" i="3"/>
  <c r="N18" i="3" s="1"/>
  <c r="K114" i="3"/>
  <c r="K113" i="3"/>
  <c r="K107" i="3"/>
  <c r="K106" i="3"/>
  <c r="K96" i="3"/>
  <c r="K92" i="3"/>
  <c r="K91" i="3"/>
  <c r="N16" i="3" s="1"/>
  <c r="K81" i="3"/>
  <c r="K80" i="3"/>
  <c r="K79" i="3"/>
  <c r="O15" i="3" s="1"/>
  <c r="K74" i="3"/>
  <c r="K73" i="3"/>
  <c r="K72" i="3"/>
  <c r="K68" i="3"/>
  <c r="K62" i="3"/>
  <c r="K60" i="3"/>
  <c r="K57" i="3"/>
  <c r="K56" i="3"/>
  <c r="K55" i="3"/>
  <c r="O13" i="3" s="1"/>
  <c r="K50" i="3"/>
  <c r="K49" i="3"/>
  <c r="K48" i="3"/>
  <c r="K45" i="3"/>
  <c r="K44" i="3"/>
  <c r="K43" i="3"/>
  <c r="N12" i="3" s="1"/>
  <c r="K38" i="3"/>
  <c r="K36" i="3"/>
  <c r="K32" i="3"/>
  <c r="K26" i="3"/>
  <c r="K25" i="3"/>
  <c r="K24" i="3"/>
  <c r="K21" i="3"/>
  <c r="K20" i="3"/>
  <c r="K19" i="3"/>
  <c r="O10" i="3" s="1"/>
  <c r="K14" i="3"/>
  <c r="K13" i="3"/>
  <c r="K9" i="3"/>
  <c r="K8" i="3"/>
  <c r="K142" i="2"/>
  <c r="K141" i="2"/>
  <c r="K135" i="2"/>
  <c r="K126" i="2"/>
  <c r="K121" i="2"/>
  <c r="K106" i="2"/>
  <c r="K105" i="2"/>
  <c r="N17" i="2" s="1"/>
  <c r="K86" i="2"/>
  <c r="K85" i="2"/>
  <c r="K84" i="2"/>
  <c r="K81" i="2"/>
  <c r="K72" i="2"/>
  <c r="K69" i="2"/>
  <c r="K68" i="2"/>
  <c r="K67" i="2"/>
  <c r="N14" i="2" s="1"/>
  <c r="K56" i="2"/>
  <c r="K55" i="2"/>
  <c r="K50" i="2"/>
  <c r="K49" i="2"/>
  <c r="K48" i="2"/>
  <c r="K38" i="2"/>
  <c r="K37" i="2"/>
  <c r="K36" i="2"/>
  <c r="K33" i="2"/>
  <c r="K32" i="2"/>
  <c r="K24" i="2"/>
  <c r="K21" i="2"/>
  <c r="K20" i="2"/>
  <c r="K19" i="2"/>
  <c r="N10" i="2" s="1"/>
  <c r="K14" i="2"/>
  <c r="K8" i="2"/>
  <c r="K7" i="2"/>
  <c r="N9" i="2" s="1"/>
  <c r="K144" i="1"/>
  <c r="K143" i="1"/>
  <c r="K142" i="1"/>
  <c r="K135" i="1"/>
  <c r="K129" i="1"/>
  <c r="K128" i="1"/>
  <c r="K115" i="1"/>
  <c r="K108" i="1"/>
  <c r="K107" i="1"/>
  <c r="O16" i="1" s="1"/>
  <c r="K95" i="1"/>
  <c r="K94" i="1"/>
  <c r="K93" i="1"/>
  <c r="K88" i="1"/>
  <c r="K87" i="1"/>
  <c r="K81" i="1"/>
  <c r="K74" i="1"/>
  <c r="K70" i="1"/>
  <c r="K69" i="1"/>
  <c r="N13" i="1" s="1"/>
  <c r="K64" i="1"/>
  <c r="K63" i="1"/>
  <c r="K62" i="1"/>
  <c r="K59" i="1"/>
  <c r="K58" i="1"/>
  <c r="K57" i="1"/>
  <c r="N12" i="1" s="1"/>
  <c r="K47" i="1"/>
  <c r="K40" i="1"/>
  <c r="K38" i="1"/>
  <c r="K35" i="1"/>
  <c r="K34" i="1"/>
  <c r="K33" i="1"/>
  <c r="N10" i="1" s="1"/>
  <c r="K28" i="1"/>
  <c r="K27" i="1"/>
  <c r="K26" i="1"/>
  <c r="K15" i="1"/>
  <c r="K10" i="1"/>
  <c r="N8" i="1" l="1"/>
  <c r="O8" i="1"/>
  <c r="N11" i="1"/>
  <c r="O11" i="1"/>
  <c r="N9" i="1"/>
  <c r="O9" i="1"/>
  <c r="N15" i="1"/>
  <c r="O10" i="1"/>
  <c r="O12" i="1"/>
  <c r="O13" i="1"/>
  <c r="O15" i="1"/>
  <c r="N14" i="1"/>
  <c r="O17" i="1"/>
  <c r="N18" i="1"/>
  <c r="O18" i="1"/>
  <c r="N16" i="1"/>
  <c r="N15" i="2"/>
  <c r="O15" i="2"/>
  <c r="O13" i="2"/>
  <c r="N16" i="2"/>
  <c r="O16" i="2"/>
  <c r="N11" i="2"/>
  <c r="O11" i="2"/>
  <c r="N19" i="2"/>
  <c r="O19" i="2"/>
  <c r="O12" i="2"/>
  <c r="N12" i="2"/>
  <c r="O9" i="2"/>
  <c r="O10" i="2"/>
  <c r="N18" i="2"/>
  <c r="O14" i="2"/>
  <c r="N13" i="2"/>
  <c r="O17" i="2"/>
  <c r="O18" i="2"/>
  <c r="N11" i="3"/>
  <c r="O11" i="3"/>
  <c r="N14" i="3"/>
  <c r="O14" i="3"/>
  <c r="N19" i="3"/>
  <c r="O19" i="3"/>
  <c r="O9" i="3"/>
  <c r="N9" i="3"/>
  <c r="O17" i="3"/>
  <c r="N17" i="3"/>
  <c r="O16" i="3"/>
  <c r="O18" i="3"/>
  <c r="N15" i="3"/>
  <c r="N10" i="3"/>
  <c r="N13" i="3"/>
  <c r="O12" i="3"/>
  <c r="N17" i="4"/>
  <c r="O17" i="4"/>
  <c r="O13" i="4"/>
  <c r="O15" i="4"/>
  <c r="N15" i="4"/>
  <c r="N16" i="4"/>
  <c r="O16" i="4"/>
  <c r="N18" i="4"/>
  <c r="N10" i="4"/>
  <c r="N11" i="4"/>
  <c r="N12" i="4"/>
  <c r="N9" i="4"/>
  <c r="O14" i="4"/>
  <c r="O8" i="4"/>
  <c r="N15" i="6"/>
  <c r="O15" i="6"/>
  <c r="O11" i="6"/>
  <c r="N19" i="6"/>
  <c r="O19" i="6"/>
  <c r="N14" i="6"/>
  <c r="O14" i="6"/>
  <c r="N16" i="6"/>
  <c r="O16" i="6"/>
  <c r="N18" i="6"/>
  <c r="N13" i="6"/>
  <c r="N11" i="6"/>
  <c r="N12" i="6"/>
  <c r="N12" i="5"/>
  <c r="N10" i="6"/>
  <c r="O10" i="6"/>
  <c r="O9" i="6"/>
  <c r="J88" i="5"/>
  <c r="K88" i="5" s="1"/>
  <c r="J87" i="5"/>
  <c r="K87" i="5" s="1"/>
  <c r="J86" i="5"/>
  <c r="K86" i="5" s="1"/>
  <c r="J76" i="5"/>
  <c r="K76" i="5" s="1"/>
  <c r="J75" i="5"/>
  <c r="K75" i="5" s="1"/>
  <c r="J74" i="5"/>
  <c r="K74" i="5" s="1"/>
  <c r="J64" i="5"/>
  <c r="K64" i="5" s="1"/>
  <c r="J63" i="5"/>
  <c r="K63" i="5" s="1"/>
  <c r="J62" i="5"/>
  <c r="K62" i="5" s="1"/>
  <c r="J52" i="5"/>
  <c r="K52" i="5" s="1"/>
  <c r="J51" i="5"/>
  <c r="K51" i="5" s="1"/>
  <c r="J50" i="5"/>
  <c r="K50" i="5" s="1"/>
  <c r="J40" i="5"/>
  <c r="K40" i="5" s="1"/>
  <c r="J39" i="5"/>
  <c r="K39" i="5" s="1"/>
  <c r="J38" i="5"/>
  <c r="K38" i="5" s="1"/>
  <c r="J28" i="5"/>
  <c r="K28" i="5" s="1"/>
  <c r="J27" i="5"/>
  <c r="K27" i="5" s="1"/>
  <c r="J26" i="5"/>
  <c r="K26" i="5" s="1"/>
  <c r="J16" i="5"/>
  <c r="K16" i="5" s="1"/>
  <c r="J15" i="5"/>
  <c r="K15" i="5" s="1"/>
  <c r="J14" i="5"/>
  <c r="K14" i="5" s="1"/>
</calcChain>
</file>

<file path=xl/sharedStrings.xml><?xml version="1.0" encoding="utf-8"?>
<sst xmlns="http://schemas.openxmlformats.org/spreadsheetml/2006/main" count="1398" uniqueCount="24">
  <si>
    <t>Sequence 6</t>
  </si>
  <si>
    <t>PlateName</t>
  </si>
  <si>
    <t>Row</t>
  </si>
  <si>
    <t xml:space="preserve">Column </t>
  </si>
  <si>
    <t xml:space="preserve"> Injection Time (sec)</t>
  </si>
  <si>
    <t>Plate2</t>
  </si>
  <si>
    <t>EM/MM0</t>
  </si>
  <si>
    <t>EM</t>
  </si>
  <si>
    <t>MM0</t>
  </si>
  <si>
    <t>Sequence 5</t>
  </si>
  <si>
    <t>Timepoint</t>
  </si>
  <si>
    <t>Sequence 2</t>
  </si>
  <si>
    <t>Plate1</t>
  </si>
  <si>
    <t>Sequence 3</t>
  </si>
  <si>
    <t>Sequence 1</t>
  </si>
  <si>
    <t>30.01.26_FsPCO_sml_lrg_wash</t>
  </si>
  <si>
    <t>Turnover</t>
  </si>
  <si>
    <t>mg enzyme</t>
  </si>
  <si>
    <t>uM substrate</t>
  </si>
  <si>
    <t>Fraction</t>
  </si>
  <si>
    <t>Enzyme+Substrate</t>
  </si>
  <si>
    <t>Time</t>
  </si>
  <si>
    <t>STDEV</t>
  </si>
  <si>
    <t>%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</si>
</sst>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1" fillId="0" borderId="1" xfId="0" applyNumberFormat="1" applyFont="1" applyBorder="1"/>
    <xf numFmtId="11" fontId="0" fillId="0" borderId="0" xfId="0" applyNumberFormat="1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10" fontId="0" fillId="0" borderId="0" xfId="0" applyNumberForma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"/>
  <sheetViews>
    <sheetView tabSelected="1" zoomScale="85" workbookViewId="0">
      <selection activeCell="R8" sqref="R8:S18"/>
    </sheetView>
  </sheetViews>
  <sheetFormatPr defaultRowHeight="14.4" x14ac:dyDescent="0.3"/>
  <cols>
    <col min="2" max="3" width="9" bestFit="1" customWidth="1"/>
    <col min="4" max="4" width="11.33203125" bestFit="1" customWidth="1"/>
    <col min="5" max="6" width="9" bestFit="1" customWidth="1"/>
    <col min="8" max="9" width="9" bestFit="1" customWidth="1"/>
    <col min="10" max="10" width="9" style="6" bestFit="1" customWidth="1"/>
    <col min="11" max="11" width="9" bestFit="1" customWidth="1"/>
    <col min="13" max="13" width="9" bestFit="1" customWidth="1"/>
    <col min="14" max="14" width="9.44140625" bestFit="1" customWidth="1"/>
    <col min="15" max="15" width="9" bestFit="1" customWidth="1"/>
    <col min="17" max="19" width="9" bestFit="1" customWidth="1"/>
  </cols>
  <sheetData>
    <row r="1" spans="1:19" x14ac:dyDescent="0.3">
      <c r="A1" t="s">
        <v>11</v>
      </c>
    </row>
    <row r="2" spans="1:19" x14ac:dyDescent="0.3">
      <c r="A2" t="s">
        <v>1</v>
      </c>
      <c r="B2" t="s">
        <v>2</v>
      </c>
      <c r="C2" t="s">
        <v>3</v>
      </c>
      <c r="D2">
        <v>1442.73</v>
      </c>
      <c r="E2">
        <v>1474.73</v>
      </c>
      <c r="F2" t="s">
        <v>4</v>
      </c>
      <c r="G2" t="s">
        <v>6</v>
      </c>
      <c r="H2" t="s">
        <v>10</v>
      </c>
      <c r="I2" t="s">
        <v>19</v>
      </c>
      <c r="J2" s="6" t="s">
        <v>23</v>
      </c>
      <c r="K2" t="s">
        <v>16</v>
      </c>
      <c r="M2" t="s">
        <v>17</v>
      </c>
      <c r="N2" s="1">
        <v>2.6208062999999999E-3</v>
      </c>
    </row>
    <row r="3" spans="1:19" x14ac:dyDescent="0.3">
      <c r="A3" t="s">
        <v>12</v>
      </c>
      <c r="B3">
        <v>2001</v>
      </c>
      <c r="C3">
        <v>2</v>
      </c>
      <c r="D3">
        <v>0</v>
      </c>
      <c r="E3">
        <v>0</v>
      </c>
      <c r="F3">
        <v>7.28</v>
      </c>
      <c r="M3" t="s">
        <v>18</v>
      </c>
      <c r="N3" s="2">
        <v>8.9999999999999993E-3</v>
      </c>
    </row>
    <row r="4" spans="1:19" x14ac:dyDescent="0.3">
      <c r="A4" t="s">
        <v>12</v>
      </c>
      <c r="B4">
        <v>2001</v>
      </c>
      <c r="C4">
        <v>3</v>
      </c>
      <c r="D4">
        <v>0</v>
      </c>
      <c r="E4">
        <v>0</v>
      </c>
      <c r="F4">
        <v>21.43</v>
      </c>
    </row>
    <row r="5" spans="1:19" x14ac:dyDescent="0.3">
      <c r="A5" t="s">
        <v>12</v>
      </c>
      <c r="B5">
        <v>2001</v>
      </c>
      <c r="C5">
        <v>2</v>
      </c>
      <c r="D5">
        <v>0</v>
      </c>
      <c r="E5">
        <v>0</v>
      </c>
      <c r="F5">
        <v>35.869999999999997</v>
      </c>
    </row>
    <row r="6" spans="1:19" ht="15.6" x14ac:dyDescent="0.3">
      <c r="A6" t="s">
        <v>12</v>
      </c>
      <c r="B6">
        <v>2001</v>
      </c>
      <c r="C6">
        <v>3</v>
      </c>
      <c r="D6">
        <v>0</v>
      </c>
      <c r="E6">
        <v>0</v>
      </c>
      <c r="F6">
        <v>50.05</v>
      </c>
      <c r="M6" s="3"/>
      <c r="N6" s="4" t="s">
        <v>20</v>
      </c>
      <c r="O6" s="3"/>
      <c r="Q6" s="3"/>
      <c r="R6" s="4" t="s">
        <v>20</v>
      </c>
      <c r="S6" s="3"/>
    </row>
    <row r="7" spans="1:19" ht="15.6" x14ac:dyDescent="0.3">
      <c r="A7" t="s">
        <v>12</v>
      </c>
      <c r="B7">
        <v>2001</v>
      </c>
      <c r="C7">
        <v>2</v>
      </c>
      <c r="D7">
        <v>0</v>
      </c>
      <c r="E7">
        <v>0</v>
      </c>
      <c r="F7">
        <v>64.34</v>
      </c>
      <c r="M7" s="4" t="s">
        <v>21</v>
      </c>
      <c r="N7" s="4" t="s">
        <v>16</v>
      </c>
      <c r="O7" s="3" t="s">
        <v>22</v>
      </c>
      <c r="Q7" s="4" t="s">
        <v>21</v>
      </c>
      <c r="R7" s="4" t="s">
        <v>23</v>
      </c>
      <c r="S7" s="3" t="s">
        <v>22</v>
      </c>
    </row>
    <row r="8" spans="1:19" ht="15.6" x14ac:dyDescent="0.3">
      <c r="A8" t="s">
        <v>12</v>
      </c>
      <c r="B8">
        <v>2001</v>
      </c>
      <c r="C8">
        <v>3</v>
      </c>
      <c r="D8">
        <v>0</v>
      </c>
      <c r="E8">
        <v>0</v>
      </c>
      <c r="F8">
        <v>78.53</v>
      </c>
      <c r="M8" s="3">
        <v>0</v>
      </c>
      <c r="N8" s="5">
        <f>AVERAGE(K9:K11)</f>
        <v>0</v>
      </c>
      <c r="O8" s="3">
        <f>STDEV(K9:K11)</f>
        <v>0</v>
      </c>
      <c r="Q8" s="3">
        <v>0</v>
      </c>
      <c r="R8" s="7">
        <f>AVERAGE(J8:J10)</f>
        <v>0</v>
      </c>
      <c r="S8" s="3">
        <f>STDEV(J9:J11)</f>
        <v>0</v>
      </c>
    </row>
    <row r="9" spans="1:19" ht="15.6" x14ac:dyDescent="0.3">
      <c r="A9" t="s">
        <v>12</v>
      </c>
      <c r="B9">
        <v>16</v>
      </c>
      <c r="C9">
        <v>1</v>
      </c>
      <c r="D9">
        <v>14193985.310546899</v>
      </c>
      <c r="E9">
        <v>0</v>
      </c>
      <c r="F9">
        <v>93.46</v>
      </c>
      <c r="G9" t="s">
        <v>7</v>
      </c>
      <c r="H9">
        <v>0</v>
      </c>
      <c r="I9">
        <f t="shared" ref="I9:J11" si="0">D9/(C9+D9)</f>
        <v>0.99999992954762829</v>
      </c>
      <c r="J9" s="6">
        <f t="shared" si="0"/>
        <v>0</v>
      </c>
      <c r="K9" s="2">
        <f>(J9*$N$3)/$N$2</f>
        <v>0</v>
      </c>
      <c r="M9" s="3">
        <v>0.5</v>
      </c>
      <c r="N9" s="5">
        <f>AVERAGE(K21:K23)</f>
        <v>0</v>
      </c>
      <c r="O9" s="3">
        <f>STDEV(K21:K23)</f>
        <v>0</v>
      </c>
      <c r="Q9" s="3">
        <v>0.5</v>
      </c>
      <c r="R9" s="7">
        <f>AVERAGE(J20:J22)</f>
        <v>0</v>
      </c>
      <c r="S9" s="3">
        <f>STDEV(J21:J23)</f>
        <v>0</v>
      </c>
    </row>
    <row r="10" spans="1:19" ht="15.6" x14ac:dyDescent="0.3">
      <c r="A10" t="s">
        <v>12</v>
      </c>
      <c r="B10">
        <v>16</v>
      </c>
      <c r="C10">
        <v>3</v>
      </c>
      <c r="D10">
        <v>14463137.982910199</v>
      </c>
      <c r="E10">
        <v>0</v>
      </c>
      <c r="F10">
        <v>108.32</v>
      </c>
      <c r="G10" t="s">
        <v>7</v>
      </c>
      <c r="H10">
        <v>0</v>
      </c>
      <c r="I10">
        <f t="shared" si="0"/>
        <v>0.99999979257617666</v>
      </c>
      <c r="J10" s="6">
        <f t="shared" si="0"/>
        <v>0</v>
      </c>
      <c r="K10" s="2">
        <f>(J10*$N$3)/$N$2</f>
        <v>0</v>
      </c>
      <c r="M10" s="3">
        <v>1</v>
      </c>
      <c r="N10" s="5">
        <f>AVERAGE(K33:K35)</f>
        <v>0</v>
      </c>
      <c r="O10" s="3">
        <f>STDEV(K33:K35)</f>
        <v>0</v>
      </c>
      <c r="Q10" s="3">
        <v>1</v>
      </c>
      <c r="R10" s="7">
        <f>AVERAGE(J32:J34)</f>
        <v>0</v>
      </c>
      <c r="S10" s="3">
        <f>STDEV(J33:J35)</f>
        <v>0</v>
      </c>
    </row>
    <row r="11" spans="1:19" ht="15.6" x14ac:dyDescent="0.3">
      <c r="A11" t="s">
        <v>12</v>
      </c>
      <c r="B11">
        <v>16</v>
      </c>
      <c r="C11">
        <v>5</v>
      </c>
      <c r="D11">
        <v>14518197.379882799</v>
      </c>
      <c r="E11">
        <v>0</v>
      </c>
      <c r="F11">
        <v>123.28</v>
      </c>
      <c r="G11" t="s">
        <v>7</v>
      </c>
      <c r="H11">
        <v>0</v>
      </c>
      <c r="I11">
        <f t="shared" si="0"/>
        <v>0.9999996556047458</v>
      </c>
      <c r="J11" s="6">
        <f t="shared" si="0"/>
        <v>0</v>
      </c>
      <c r="K11" s="2">
        <f>(J11*$N$3)/$N$2</f>
        <v>0</v>
      </c>
      <c r="M11" s="3">
        <v>1.5</v>
      </c>
      <c r="N11" s="5">
        <f>AVERAGE(K45:K47)</f>
        <v>0</v>
      </c>
      <c r="O11" s="3">
        <f>STDEV(K45:K47)</f>
        <v>0</v>
      </c>
      <c r="Q11" s="3">
        <v>1.5</v>
      </c>
      <c r="R11" s="7">
        <f>AVERAGE(J45:J47)</f>
        <v>0</v>
      </c>
      <c r="S11" s="3">
        <f>STDEV(J45:J47)</f>
        <v>0</v>
      </c>
    </row>
    <row r="12" spans="1:19" ht="15.6" x14ac:dyDescent="0.3">
      <c r="A12" t="s">
        <v>12</v>
      </c>
      <c r="B12">
        <v>2001</v>
      </c>
      <c r="C12">
        <v>2</v>
      </c>
      <c r="D12">
        <v>5316.4111328125</v>
      </c>
      <c r="E12">
        <v>0</v>
      </c>
      <c r="F12">
        <v>137.69999999999999</v>
      </c>
      <c r="M12" s="3">
        <v>3</v>
      </c>
      <c r="N12" s="5">
        <f>AVERAGE(K57:K59)</f>
        <v>0</v>
      </c>
      <c r="O12" s="3">
        <f>STDEV(K57:K59)</f>
        <v>0</v>
      </c>
      <c r="Q12" s="3">
        <v>3</v>
      </c>
      <c r="R12" s="7">
        <f>AVERAGE(J56:J58)</f>
        <v>0</v>
      </c>
      <c r="S12" s="3">
        <f>STDEV(J57:J59)</f>
        <v>0</v>
      </c>
    </row>
    <row r="13" spans="1:19" ht="15.6" x14ac:dyDescent="0.3">
      <c r="A13" t="s">
        <v>12</v>
      </c>
      <c r="B13">
        <v>2001</v>
      </c>
      <c r="C13">
        <v>3</v>
      </c>
      <c r="D13">
        <v>0</v>
      </c>
      <c r="E13">
        <v>0</v>
      </c>
      <c r="F13">
        <v>151.88999999999999</v>
      </c>
      <c r="M13" s="3">
        <v>5</v>
      </c>
      <c r="N13" s="5">
        <f>AVERAGE(K69:K71)</f>
        <v>0</v>
      </c>
      <c r="O13" s="3">
        <f>STDEV(K69:K71)</f>
        <v>0</v>
      </c>
      <c r="Q13" s="3">
        <v>5</v>
      </c>
      <c r="R13" s="7">
        <f>AVERAGE(J68:J70)</f>
        <v>0</v>
      </c>
      <c r="S13" s="3">
        <f>STDEV(J69:J71)</f>
        <v>0</v>
      </c>
    </row>
    <row r="14" spans="1:19" ht="15.6" x14ac:dyDescent="0.3">
      <c r="A14" t="s">
        <v>12</v>
      </c>
      <c r="B14">
        <v>16</v>
      </c>
      <c r="C14">
        <v>7</v>
      </c>
      <c r="D14">
        <v>18200829.808105499</v>
      </c>
      <c r="E14">
        <v>0</v>
      </c>
      <c r="F14">
        <v>166.75</v>
      </c>
      <c r="G14" t="s">
        <v>8</v>
      </c>
      <c r="H14">
        <v>0</v>
      </c>
      <c r="I14">
        <f t="shared" ref="I14:J16" si="1">D14/(C14+D14)</f>
        <v>0.99999961540229865</v>
      </c>
      <c r="J14" s="6">
        <f t="shared" si="1"/>
        <v>0</v>
      </c>
      <c r="K14" s="2">
        <f>(J14*$N$3)/$N$2</f>
        <v>0</v>
      </c>
      <c r="M14" s="3">
        <v>10</v>
      </c>
      <c r="N14" s="5">
        <f>AVERAGE(K81:K83)</f>
        <v>0</v>
      </c>
      <c r="O14" s="3">
        <f>STDEV(K81:K83)</f>
        <v>0</v>
      </c>
      <c r="Q14" s="3">
        <v>10</v>
      </c>
      <c r="R14" s="7">
        <f>AVERAGE(J80:J82)</f>
        <v>0</v>
      </c>
      <c r="S14" s="3">
        <f>STDEV(J81:J83)</f>
        <v>0</v>
      </c>
    </row>
    <row r="15" spans="1:19" ht="15.6" x14ac:dyDescent="0.3">
      <c r="A15" t="s">
        <v>12</v>
      </c>
      <c r="B15">
        <v>16</v>
      </c>
      <c r="C15">
        <v>9</v>
      </c>
      <c r="D15">
        <v>16146250.0737305</v>
      </c>
      <c r="E15">
        <v>0</v>
      </c>
      <c r="F15">
        <v>181.72</v>
      </c>
      <c r="G15" t="s">
        <v>8</v>
      </c>
      <c r="H15">
        <v>0</v>
      </c>
      <c r="I15">
        <f t="shared" si="1"/>
        <v>0.99999944259534301</v>
      </c>
      <c r="J15" s="6">
        <f t="shared" si="1"/>
        <v>0</v>
      </c>
      <c r="K15" s="2">
        <f>(J15*$N$3)/$N$2</f>
        <v>0</v>
      </c>
      <c r="M15" s="3">
        <v>20</v>
      </c>
      <c r="N15" s="5">
        <f>AVERAGE(K93:K95)</f>
        <v>1.2797819099254632E-2</v>
      </c>
      <c r="O15" s="3">
        <f>STDEV(K93:K95)</f>
        <v>1.168344294615261E-3</v>
      </c>
      <c r="Q15" s="3">
        <v>20</v>
      </c>
      <c r="R15" s="7">
        <f>AVERAGE(J93:J95)</f>
        <v>3.7267338801763189E-3</v>
      </c>
      <c r="S15" s="3">
        <f>STDEV(J93:J95)</f>
        <v>3.4022267643297034E-4</v>
      </c>
    </row>
    <row r="16" spans="1:19" ht="15.6" x14ac:dyDescent="0.3">
      <c r="A16" t="s">
        <v>12</v>
      </c>
      <c r="B16">
        <v>16</v>
      </c>
      <c r="C16">
        <v>11</v>
      </c>
      <c r="D16">
        <v>17024967.28125</v>
      </c>
      <c r="E16">
        <v>0</v>
      </c>
      <c r="F16">
        <v>196.55</v>
      </c>
      <c r="G16" t="s">
        <v>8</v>
      </c>
      <c r="H16">
        <v>0</v>
      </c>
      <c r="I16">
        <f t="shared" si="1"/>
        <v>0.99999935389051198</v>
      </c>
      <c r="J16" s="6">
        <f t="shared" si="1"/>
        <v>0</v>
      </c>
      <c r="K16" s="2">
        <f>(J16*$N$3)/$N$2</f>
        <v>0</v>
      </c>
      <c r="M16" s="3">
        <v>40</v>
      </c>
      <c r="N16" s="5" t="e">
        <f>AVERAGE(K107:K109)</f>
        <v>#DIV/0!</v>
      </c>
      <c r="O16" t="e">
        <f>STDEV(K107:K109)</f>
        <v>#DIV/0!</v>
      </c>
      <c r="Q16" s="3">
        <v>40</v>
      </c>
      <c r="R16" s="7" t="e">
        <f>AVERAGE(J107:J109)</f>
        <v>#DIV/0!</v>
      </c>
      <c r="S16" t="e">
        <f>STDEV(J107:J109)</f>
        <v>#DIV/0!</v>
      </c>
    </row>
    <row r="17" spans="1:19" ht="15.6" x14ac:dyDescent="0.3">
      <c r="A17" t="s">
        <v>12</v>
      </c>
      <c r="B17">
        <v>2001</v>
      </c>
      <c r="C17">
        <v>2</v>
      </c>
      <c r="D17">
        <v>11624.037109375</v>
      </c>
      <c r="E17">
        <v>0</v>
      </c>
      <c r="F17">
        <v>211.01</v>
      </c>
      <c r="M17" s="3">
        <v>60</v>
      </c>
      <c r="N17" s="5">
        <f>AVERAGE(K121:K123)</f>
        <v>5.4520883881445263E-2</v>
      </c>
      <c r="O17">
        <f>STDEV(K121:K123)</f>
        <v>1.4589053941933664E-2</v>
      </c>
      <c r="Q17" s="3">
        <v>60</v>
      </c>
      <c r="R17" s="7">
        <f>AVERAGE(J121:J123)</f>
        <v>1.5876519550895581E-2</v>
      </c>
      <c r="S17">
        <f>STDEV(J121:J123)</f>
        <v>4.2483427202288449E-3</v>
      </c>
    </row>
    <row r="18" spans="1:19" ht="15.6" x14ac:dyDescent="0.3">
      <c r="A18" t="s">
        <v>12</v>
      </c>
      <c r="B18">
        <v>2001</v>
      </c>
      <c r="C18">
        <v>3</v>
      </c>
      <c r="D18">
        <v>0</v>
      </c>
      <c r="E18">
        <v>0</v>
      </c>
      <c r="F18">
        <v>225.3</v>
      </c>
      <c r="M18" s="3">
        <v>300</v>
      </c>
      <c r="N18" s="5" t="e">
        <f>AVERAGE(K135:K137)</f>
        <v>#DIV/0!</v>
      </c>
      <c r="O18" t="e">
        <f>STDEV(K135:K137)</f>
        <v>#DIV/0!</v>
      </c>
      <c r="Q18" s="3">
        <v>300</v>
      </c>
      <c r="R18" s="7" t="e">
        <f>AVERAGE(J135:J137)</f>
        <v>#DIV/0!</v>
      </c>
      <c r="S18" t="e">
        <f>STDEV(J135:J137)</f>
        <v>#DIV/0!</v>
      </c>
    </row>
    <row r="19" spans="1:19" x14ac:dyDescent="0.3">
      <c r="A19" t="s">
        <v>12</v>
      </c>
      <c r="B19">
        <v>2001</v>
      </c>
      <c r="C19">
        <v>2</v>
      </c>
      <c r="D19">
        <v>0</v>
      </c>
      <c r="E19">
        <v>0</v>
      </c>
      <c r="F19">
        <v>239.61</v>
      </c>
    </row>
    <row r="20" spans="1:19" x14ac:dyDescent="0.3">
      <c r="A20" t="s">
        <v>12</v>
      </c>
      <c r="B20">
        <v>2001</v>
      </c>
      <c r="C20">
        <v>3</v>
      </c>
      <c r="D20">
        <v>0</v>
      </c>
      <c r="E20">
        <v>0</v>
      </c>
      <c r="F20">
        <v>253.76</v>
      </c>
    </row>
    <row r="21" spans="1:19" x14ac:dyDescent="0.3">
      <c r="A21" t="s">
        <v>12</v>
      </c>
      <c r="B21">
        <v>15</v>
      </c>
      <c r="C21">
        <v>1</v>
      </c>
      <c r="D21">
        <v>10367644.576171899</v>
      </c>
      <c r="E21">
        <v>0</v>
      </c>
      <c r="F21">
        <v>268.73</v>
      </c>
      <c r="G21" t="s">
        <v>7</v>
      </c>
      <c r="H21">
        <v>0.5</v>
      </c>
      <c r="I21">
        <f t="shared" ref="I21:J23" si="2">D21/(C21+D21)</f>
        <v>0.99999990354608548</v>
      </c>
      <c r="J21" s="6">
        <f t="shared" si="2"/>
        <v>0</v>
      </c>
      <c r="K21" s="2">
        <f>(J21*$N$3)/$N$2</f>
        <v>0</v>
      </c>
    </row>
    <row r="22" spans="1:19" x14ac:dyDescent="0.3">
      <c r="A22" t="s">
        <v>12</v>
      </c>
      <c r="B22">
        <v>15</v>
      </c>
      <c r="C22">
        <v>3</v>
      </c>
      <c r="D22">
        <v>8287230.37109375</v>
      </c>
      <c r="E22">
        <v>0</v>
      </c>
      <c r="F22">
        <v>283.61</v>
      </c>
      <c r="G22" t="s">
        <v>7</v>
      </c>
      <c r="H22">
        <v>0.5</v>
      </c>
      <c r="I22">
        <f t="shared" si="2"/>
        <v>0.99999963799740332</v>
      </c>
      <c r="J22" s="6">
        <f t="shared" si="2"/>
        <v>0</v>
      </c>
      <c r="K22" s="2">
        <f>(J22*$N$3)/$N$2</f>
        <v>0</v>
      </c>
    </row>
    <row r="23" spans="1:19" x14ac:dyDescent="0.3">
      <c r="A23" t="s">
        <v>12</v>
      </c>
      <c r="B23">
        <v>15</v>
      </c>
      <c r="C23">
        <v>5</v>
      </c>
      <c r="D23">
        <v>8993250.2802734394</v>
      </c>
      <c r="E23">
        <v>0</v>
      </c>
      <c r="F23">
        <v>298.56</v>
      </c>
      <c r="G23" t="s">
        <v>7</v>
      </c>
      <c r="H23">
        <v>0.5</v>
      </c>
      <c r="I23">
        <f t="shared" si="2"/>
        <v>0.99999944402779151</v>
      </c>
      <c r="J23" s="6">
        <f t="shared" si="2"/>
        <v>0</v>
      </c>
      <c r="K23" s="2">
        <f>(J23*$N$3)/$N$2</f>
        <v>0</v>
      </c>
    </row>
    <row r="24" spans="1:19" x14ac:dyDescent="0.3">
      <c r="A24" t="s">
        <v>12</v>
      </c>
      <c r="B24">
        <v>2001</v>
      </c>
      <c r="C24">
        <v>2</v>
      </c>
      <c r="D24">
        <v>0</v>
      </c>
      <c r="E24">
        <v>0</v>
      </c>
      <c r="F24">
        <v>313.02999999999997</v>
      </c>
    </row>
    <row r="25" spans="1:19" x14ac:dyDescent="0.3">
      <c r="A25" t="s">
        <v>12</v>
      </c>
      <c r="B25">
        <v>2001</v>
      </c>
      <c r="C25">
        <v>3</v>
      </c>
      <c r="D25">
        <v>0</v>
      </c>
      <c r="E25">
        <v>0</v>
      </c>
      <c r="F25">
        <v>327.22000000000003</v>
      </c>
    </row>
    <row r="26" spans="1:19" x14ac:dyDescent="0.3">
      <c r="A26" t="s">
        <v>12</v>
      </c>
      <c r="B26">
        <v>15</v>
      </c>
      <c r="C26">
        <v>7</v>
      </c>
      <c r="D26">
        <v>13324440.4179688</v>
      </c>
      <c r="E26">
        <v>0</v>
      </c>
      <c r="F26">
        <v>342.04</v>
      </c>
      <c r="G26" t="s">
        <v>8</v>
      </c>
      <c r="H26">
        <v>0.5</v>
      </c>
      <c r="I26">
        <f t="shared" ref="I26:J28" si="3">D26/(C26+D26)</f>
        <v>0.9999994746498837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12</v>
      </c>
      <c r="B27">
        <v>15</v>
      </c>
      <c r="C27">
        <v>9</v>
      </c>
      <c r="D27">
        <v>12310514.111328101</v>
      </c>
      <c r="E27">
        <v>0</v>
      </c>
      <c r="F27">
        <v>357.02</v>
      </c>
      <c r="G27" t="s">
        <v>8</v>
      </c>
      <c r="H27">
        <v>0.5</v>
      </c>
      <c r="I27">
        <f t="shared" si="3"/>
        <v>0.99999926891815083</v>
      </c>
      <c r="J27" s="6">
        <f t="shared" si="3"/>
        <v>0</v>
      </c>
      <c r="K27" s="2">
        <f>(J27*$N$3)/$N$2</f>
        <v>0</v>
      </c>
    </row>
    <row r="28" spans="1:19" x14ac:dyDescent="0.3">
      <c r="A28" t="s">
        <v>12</v>
      </c>
      <c r="B28">
        <v>15</v>
      </c>
      <c r="C28">
        <v>11</v>
      </c>
      <c r="D28">
        <v>13076423.6337891</v>
      </c>
      <c r="E28">
        <v>0</v>
      </c>
      <c r="F28">
        <v>371.84</v>
      </c>
      <c r="G28" t="s">
        <v>8</v>
      </c>
      <c r="H28">
        <v>0.5</v>
      </c>
      <c r="I28">
        <f t="shared" si="3"/>
        <v>0.99999915879210899</v>
      </c>
      <c r="J28" s="6">
        <f t="shared" si="3"/>
        <v>0</v>
      </c>
      <c r="K28" s="2">
        <f>(J28*$N$3)/$N$2</f>
        <v>0</v>
      </c>
    </row>
    <row r="29" spans="1:19" x14ac:dyDescent="0.3">
      <c r="A29" t="s">
        <v>12</v>
      </c>
      <c r="B29">
        <v>2001</v>
      </c>
      <c r="C29">
        <v>2</v>
      </c>
      <c r="D29">
        <v>0</v>
      </c>
      <c r="E29">
        <v>0</v>
      </c>
      <c r="F29">
        <v>386.27</v>
      </c>
    </row>
    <row r="30" spans="1:19" x14ac:dyDescent="0.3">
      <c r="A30" t="s">
        <v>12</v>
      </c>
      <c r="B30">
        <v>2001</v>
      </c>
      <c r="C30">
        <v>3</v>
      </c>
      <c r="D30">
        <v>0</v>
      </c>
      <c r="E30">
        <v>0</v>
      </c>
      <c r="F30">
        <v>400.44</v>
      </c>
    </row>
    <row r="31" spans="1:19" x14ac:dyDescent="0.3">
      <c r="A31" t="s">
        <v>12</v>
      </c>
      <c r="B31">
        <v>2001</v>
      </c>
      <c r="C31">
        <v>2</v>
      </c>
      <c r="D31">
        <v>0</v>
      </c>
      <c r="E31">
        <v>0</v>
      </c>
      <c r="F31">
        <v>414.88</v>
      </c>
    </row>
    <row r="32" spans="1:19" x14ac:dyDescent="0.3">
      <c r="A32" t="s">
        <v>12</v>
      </c>
      <c r="B32">
        <v>2001</v>
      </c>
      <c r="C32">
        <v>3</v>
      </c>
      <c r="D32">
        <v>0</v>
      </c>
      <c r="E32">
        <v>0</v>
      </c>
      <c r="F32">
        <v>429.09</v>
      </c>
    </row>
    <row r="33" spans="1:11" x14ac:dyDescent="0.3">
      <c r="A33" t="s">
        <v>12</v>
      </c>
      <c r="B33">
        <v>14</v>
      </c>
      <c r="C33">
        <v>1</v>
      </c>
      <c r="D33">
        <v>10051361.0947266</v>
      </c>
      <c r="E33">
        <v>0</v>
      </c>
      <c r="F33">
        <v>444.06</v>
      </c>
      <c r="G33" t="s">
        <v>7</v>
      </c>
      <c r="H33">
        <v>1</v>
      </c>
      <c r="I33">
        <f t="shared" ref="I33:J35" si="4">D33/(C33+D33)</f>
        <v>0.99999990051099641</v>
      </c>
      <c r="J33" s="6">
        <f t="shared" si="4"/>
        <v>0</v>
      </c>
      <c r="K33" s="2">
        <f>(J33*$N$3)/$N$2</f>
        <v>0</v>
      </c>
    </row>
    <row r="34" spans="1:11" x14ac:dyDescent="0.3">
      <c r="A34" t="s">
        <v>12</v>
      </c>
      <c r="B34">
        <v>14</v>
      </c>
      <c r="C34">
        <v>3</v>
      </c>
      <c r="D34">
        <v>10574248.7382813</v>
      </c>
      <c r="E34">
        <v>0</v>
      </c>
      <c r="F34">
        <v>458.93</v>
      </c>
      <c r="G34" t="s">
        <v>7</v>
      </c>
      <c r="H34">
        <v>1</v>
      </c>
      <c r="I34">
        <f t="shared" si="4"/>
        <v>0.99999971629198225</v>
      </c>
      <c r="J34" s="6">
        <f t="shared" si="4"/>
        <v>0</v>
      </c>
      <c r="K34" s="2">
        <f>(J34*$N$3)/$N$2</f>
        <v>0</v>
      </c>
    </row>
    <row r="35" spans="1:11" x14ac:dyDescent="0.3">
      <c r="A35" t="s">
        <v>12</v>
      </c>
      <c r="B35">
        <v>14</v>
      </c>
      <c r="C35">
        <v>5</v>
      </c>
      <c r="D35">
        <v>10881566.7509766</v>
      </c>
      <c r="E35">
        <v>0</v>
      </c>
      <c r="F35">
        <v>473.78</v>
      </c>
      <c r="G35" t="s">
        <v>7</v>
      </c>
      <c r="H35">
        <v>1</v>
      </c>
      <c r="I35">
        <f t="shared" si="4"/>
        <v>0.99999954050755591</v>
      </c>
      <c r="J35" s="6">
        <f t="shared" si="4"/>
        <v>0</v>
      </c>
      <c r="K35" s="2">
        <f>(J35*$N$3)/$N$2</f>
        <v>0</v>
      </c>
    </row>
    <row r="36" spans="1:11" x14ac:dyDescent="0.3">
      <c r="A36" t="s">
        <v>12</v>
      </c>
      <c r="B36">
        <v>2001</v>
      </c>
      <c r="C36">
        <v>2</v>
      </c>
      <c r="D36">
        <v>0</v>
      </c>
      <c r="E36">
        <v>0</v>
      </c>
      <c r="F36">
        <v>488.23</v>
      </c>
    </row>
    <row r="37" spans="1:11" x14ac:dyDescent="0.3">
      <c r="A37" t="s">
        <v>12</v>
      </c>
      <c r="B37">
        <v>2001</v>
      </c>
      <c r="C37">
        <v>3</v>
      </c>
      <c r="D37">
        <v>0</v>
      </c>
      <c r="E37">
        <v>0</v>
      </c>
      <c r="F37">
        <v>502.41</v>
      </c>
    </row>
    <row r="38" spans="1:11" x14ac:dyDescent="0.3">
      <c r="A38" t="s">
        <v>12</v>
      </c>
      <c r="B38">
        <v>14</v>
      </c>
      <c r="C38">
        <v>7</v>
      </c>
      <c r="D38">
        <v>13512549.7734375</v>
      </c>
      <c r="E38">
        <v>0</v>
      </c>
      <c r="F38">
        <v>517.36</v>
      </c>
      <c r="G38" t="s">
        <v>8</v>
      </c>
      <c r="H38">
        <v>1</v>
      </c>
      <c r="I38">
        <f t="shared" ref="I38:J40" si="5">D38/(C38+D38)</f>
        <v>0.99999948196332367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12</v>
      </c>
      <c r="B39">
        <v>14</v>
      </c>
      <c r="C39">
        <v>9</v>
      </c>
      <c r="D39">
        <v>13084255.2299805</v>
      </c>
      <c r="E39">
        <v>0</v>
      </c>
      <c r="F39">
        <v>532.30999999999995</v>
      </c>
      <c r="G39" t="s">
        <v>8</v>
      </c>
      <c r="H39">
        <v>1</v>
      </c>
      <c r="I39">
        <f t="shared" si="5"/>
        <v>0.99999931215085225</v>
      </c>
      <c r="J39" s="6">
        <f t="shared" si="5"/>
        <v>0</v>
      </c>
      <c r="K39" s="2">
        <f>(J39*$N$3)/$N$2</f>
        <v>0</v>
      </c>
    </row>
    <row r="40" spans="1:11" x14ac:dyDescent="0.3">
      <c r="A40" t="s">
        <v>12</v>
      </c>
      <c r="B40">
        <v>14</v>
      </c>
      <c r="C40">
        <v>11</v>
      </c>
      <c r="D40">
        <v>13053856.6796875</v>
      </c>
      <c r="E40">
        <v>0</v>
      </c>
      <c r="F40">
        <v>547.21</v>
      </c>
      <c r="G40" t="s">
        <v>8</v>
      </c>
      <c r="H40">
        <v>1</v>
      </c>
      <c r="I40">
        <f t="shared" si="5"/>
        <v>0.99999915733786571</v>
      </c>
      <c r="J40" s="6">
        <f t="shared" si="5"/>
        <v>0</v>
      </c>
      <c r="K40" s="2">
        <f>(J40*$N$3)/$N$2</f>
        <v>0</v>
      </c>
    </row>
    <row r="41" spans="1:11" x14ac:dyDescent="0.3">
      <c r="A41" t="s">
        <v>12</v>
      </c>
      <c r="B41">
        <v>2001</v>
      </c>
      <c r="C41">
        <v>2</v>
      </c>
      <c r="D41">
        <v>0</v>
      </c>
      <c r="E41">
        <v>0</v>
      </c>
      <c r="F41">
        <v>561.54999999999995</v>
      </c>
    </row>
    <row r="42" spans="1:11" x14ac:dyDescent="0.3">
      <c r="A42" t="s">
        <v>12</v>
      </c>
      <c r="B42">
        <v>2001</v>
      </c>
      <c r="C42">
        <v>3</v>
      </c>
      <c r="D42">
        <v>0</v>
      </c>
      <c r="E42">
        <v>0</v>
      </c>
      <c r="F42">
        <v>575.86</v>
      </c>
    </row>
    <row r="43" spans="1:11" x14ac:dyDescent="0.3">
      <c r="A43" t="s">
        <v>12</v>
      </c>
      <c r="B43">
        <v>2001</v>
      </c>
      <c r="C43">
        <v>2</v>
      </c>
      <c r="D43">
        <v>0</v>
      </c>
      <c r="E43">
        <v>0</v>
      </c>
      <c r="F43">
        <v>590.27</v>
      </c>
    </row>
    <row r="44" spans="1:11" x14ac:dyDescent="0.3">
      <c r="A44" t="s">
        <v>12</v>
      </c>
      <c r="B44">
        <v>2001</v>
      </c>
      <c r="C44">
        <v>3</v>
      </c>
      <c r="D44">
        <v>0</v>
      </c>
      <c r="E44">
        <v>0</v>
      </c>
      <c r="F44">
        <v>604.4</v>
      </c>
    </row>
    <row r="45" spans="1:11" x14ac:dyDescent="0.3">
      <c r="A45" t="s">
        <v>12</v>
      </c>
      <c r="B45">
        <v>13</v>
      </c>
      <c r="C45">
        <v>1</v>
      </c>
      <c r="D45">
        <v>10188166.4296875</v>
      </c>
      <c r="E45">
        <v>0</v>
      </c>
      <c r="F45">
        <v>619.34</v>
      </c>
      <c r="G45" t="s">
        <v>7</v>
      </c>
      <c r="H45">
        <v>1.5</v>
      </c>
      <c r="I45">
        <f t="shared" ref="I45:J47" si="6">D45/(C45+D45)</f>
        <v>0.99999990184692122</v>
      </c>
      <c r="J45" s="6">
        <f t="shared" si="6"/>
        <v>0</v>
      </c>
      <c r="K45" s="2">
        <f>(J45*$N$3)/$N$2</f>
        <v>0</v>
      </c>
    </row>
    <row r="46" spans="1:11" x14ac:dyDescent="0.3">
      <c r="A46" t="s">
        <v>12</v>
      </c>
      <c r="B46">
        <v>13</v>
      </c>
      <c r="C46">
        <v>3</v>
      </c>
      <c r="D46">
        <v>11471253.0703125</v>
      </c>
      <c r="E46">
        <v>0</v>
      </c>
      <c r="F46">
        <v>634.16</v>
      </c>
      <c r="G46" t="s">
        <v>7</v>
      </c>
      <c r="H46">
        <v>1.5</v>
      </c>
      <c r="I46">
        <f t="shared" si="6"/>
        <v>0.99999973847676471</v>
      </c>
      <c r="J46" s="6">
        <f t="shared" si="6"/>
        <v>0</v>
      </c>
      <c r="K46" s="2">
        <f>(J46*$N$3)/$N$2</f>
        <v>0</v>
      </c>
    </row>
    <row r="47" spans="1:11" x14ac:dyDescent="0.3">
      <c r="A47" t="s">
        <v>12</v>
      </c>
      <c r="B47">
        <v>13</v>
      </c>
      <c r="C47">
        <v>5</v>
      </c>
      <c r="D47">
        <v>10931055.5625</v>
      </c>
      <c r="E47">
        <v>0</v>
      </c>
      <c r="F47">
        <v>649.13</v>
      </c>
      <c r="G47" t="s">
        <v>7</v>
      </c>
      <c r="H47">
        <v>1.5</v>
      </c>
      <c r="I47">
        <f t="shared" si="6"/>
        <v>0.99999954258784207</v>
      </c>
      <c r="J47" s="6">
        <f t="shared" si="6"/>
        <v>0</v>
      </c>
      <c r="K47" s="2">
        <f>(J47*$N$3)/$N$2</f>
        <v>0</v>
      </c>
    </row>
    <row r="48" spans="1:11" x14ac:dyDescent="0.3">
      <c r="A48" t="s">
        <v>12</v>
      </c>
      <c r="B48">
        <v>2001</v>
      </c>
      <c r="C48">
        <v>2</v>
      </c>
      <c r="D48">
        <v>0</v>
      </c>
      <c r="E48">
        <v>0</v>
      </c>
      <c r="F48">
        <v>663.58</v>
      </c>
    </row>
    <row r="49" spans="1:11" x14ac:dyDescent="0.3">
      <c r="A49" t="s">
        <v>12</v>
      </c>
      <c r="B49">
        <v>2001</v>
      </c>
      <c r="C49">
        <v>3</v>
      </c>
      <c r="D49">
        <v>0</v>
      </c>
      <c r="E49">
        <v>0</v>
      </c>
      <c r="F49">
        <v>677.78</v>
      </c>
    </row>
    <row r="50" spans="1:11" x14ac:dyDescent="0.3">
      <c r="A50" t="s">
        <v>12</v>
      </c>
      <c r="B50">
        <v>13</v>
      </c>
      <c r="C50">
        <v>7</v>
      </c>
      <c r="D50">
        <v>13053129.7539063</v>
      </c>
      <c r="E50">
        <v>0</v>
      </c>
      <c r="F50">
        <v>692.61</v>
      </c>
      <c r="G50" t="s">
        <v>8</v>
      </c>
      <c r="H50">
        <v>1.5</v>
      </c>
      <c r="I50">
        <f t="shared" ref="I50:J52" si="7">D50/(C50+D50)</f>
        <v>0.99999946373043258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12</v>
      </c>
      <c r="B51">
        <v>13</v>
      </c>
      <c r="C51">
        <v>9</v>
      </c>
      <c r="D51">
        <v>13407328.603515601</v>
      </c>
      <c r="E51">
        <v>0</v>
      </c>
      <c r="F51">
        <v>707.48</v>
      </c>
      <c r="G51" t="s">
        <v>8</v>
      </c>
      <c r="H51">
        <v>1.5</v>
      </c>
      <c r="I51">
        <f t="shared" si="7"/>
        <v>0.9999993287257869</v>
      </c>
      <c r="J51" s="6">
        <f t="shared" si="7"/>
        <v>0</v>
      </c>
      <c r="K51" s="2">
        <f>(J51*$N$3)/$N$2</f>
        <v>0</v>
      </c>
    </row>
    <row r="52" spans="1:11" x14ac:dyDescent="0.3">
      <c r="A52" t="s">
        <v>12</v>
      </c>
      <c r="B52">
        <v>13</v>
      </c>
      <c r="C52">
        <v>11</v>
      </c>
      <c r="D52">
        <v>13749838.4101563</v>
      </c>
      <c r="E52">
        <v>0</v>
      </c>
      <c r="F52">
        <v>722.47</v>
      </c>
      <c r="G52" t="s">
        <v>8</v>
      </c>
      <c r="H52">
        <v>1.5</v>
      </c>
      <c r="I52">
        <f t="shared" si="7"/>
        <v>0.99999919999123832</v>
      </c>
      <c r="J52" s="6">
        <f t="shared" si="7"/>
        <v>0</v>
      </c>
      <c r="K52" s="2">
        <f>(J52*$N$3)/$N$2</f>
        <v>0</v>
      </c>
    </row>
    <row r="53" spans="1:11" x14ac:dyDescent="0.3">
      <c r="A53" t="s">
        <v>12</v>
      </c>
      <c r="B53">
        <v>2001</v>
      </c>
      <c r="C53">
        <v>2</v>
      </c>
      <c r="D53">
        <v>0</v>
      </c>
      <c r="E53">
        <v>0</v>
      </c>
      <c r="F53">
        <v>736.78</v>
      </c>
    </row>
    <row r="54" spans="1:11" x14ac:dyDescent="0.3">
      <c r="A54" t="s">
        <v>12</v>
      </c>
      <c r="B54">
        <v>2001</v>
      </c>
      <c r="C54">
        <v>3</v>
      </c>
      <c r="D54">
        <v>0</v>
      </c>
      <c r="E54">
        <v>0</v>
      </c>
      <c r="F54">
        <v>751.06</v>
      </c>
    </row>
    <row r="55" spans="1:11" x14ac:dyDescent="0.3">
      <c r="A55" t="s">
        <v>12</v>
      </c>
      <c r="B55">
        <v>2001</v>
      </c>
      <c r="C55">
        <v>2</v>
      </c>
      <c r="D55">
        <v>0</v>
      </c>
      <c r="E55">
        <v>0</v>
      </c>
      <c r="F55">
        <v>765.5</v>
      </c>
    </row>
    <row r="56" spans="1:11" x14ac:dyDescent="0.3">
      <c r="A56" t="s">
        <v>12</v>
      </c>
      <c r="B56">
        <v>2001</v>
      </c>
      <c r="C56">
        <v>3</v>
      </c>
      <c r="D56">
        <v>0</v>
      </c>
      <c r="E56">
        <v>0</v>
      </c>
      <c r="F56">
        <v>779.67</v>
      </c>
    </row>
    <row r="57" spans="1:11" x14ac:dyDescent="0.3">
      <c r="A57" t="s">
        <v>12</v>
      </c>
      <c r="B57">
        <v>12</v>
      </c>
      <c r="C57">
        <v>1</v>
      </c>
      <c r="D57">
        <v>10089644.330566401</v>
      </c>
      <c r="E57">
        <v>0</v>
      </c>
      <c r="F57">
        <v>794.52</v>
      </c>
      <c r="G57" t="s">
        <v>7</v>
      </c>
      <c r="H57">
        <v>3</v>
      </c>
      <c r="I57">
        <f t="shared" ref="I57:J59" si="8">D57/(C57+D57)</f>
        <v>0.99999990088848845</v>
      </c>
      <c r="J57" s="6">
        <f t="shared" si="8"/>
        <v>0</v>
      </c>
      <c r="K57" s="2">
        <f>(J57*$N$3)/$N$2</f>
        <v>0</v>
      </c>
    </row>
    <row r="58" spans="1:11" x14ac:dyDescent="0.3">
      <c r="A58" t="s">
        <v>12</v>
      </c>
      <c r="B58">
        <v>12</v>
      </c>
      <c r="C58">
        <v>3</v>
      </c>
      <c r="D58">
        <v>12092016.294921899</v>
      </c>
      <c r="E58">
        <v>0</v>
      </c>
      <c r="F58">
        <v>809.51</v>
      </c>
      <c r="G58" t="s">
        <v>7</v>
      </c>
      <c r="H58">
        <v>3</v>
      </c>
      <c r="I58">
        <f t="shared" si="8"/>
        <v>0.99999975190247992</v>
      </c>
      <c r="J58" s="6">
        <f t="shared" si="8"/>
        <v>0</v>
      </c>
      <c r="K58" s="2">
        <f>(J58*$N$3)/$N$2</f>
        <v>0</v>
      </c>
    </row>
    <row r="59" spans="1:11" x14ac:dyDescent="0.3">
      <c r="A59" t="s">
        <v>12</v>
      </c>
      <c r="B59">
        <v>12</v>
      </c>
      <c r="C59">
        <v>5</v>
      </c>
      <c r="D59">
        <v>11511051.837890601</v>
      </c>
      <c r="E59">
        <v>0</v>
      </c>
      <c r="F59">
        <v>824.43</v>
      </c>
      <c r="G59" t="s">
        <v>7</v>
      </c>
      <c r="H59">
        <v>3</v>
      </c>
      <c r="I59">
        <f t="shared" si="8"/>
        <v>0.99999956563501768</v>
      </c>
      <c r="J59" s="6">
        <f t="shared" si="8"/>
        <v>0</v>
      </c>
      <c r="K59" s="2">
        <f>(J59*$N$3)/$N$2</f>
        <v>0</v>
      </c>
    </row>
    <row r="60" spans="1:11" x14ac:dyDescent="0.3">
      <c r="A60" t="s">
        <v>12</v>
      </c>
      <c r="B60">
        <v>2001</v>
      </c>
      <c r="C60">
        <v>2</v>
      </c>
      <c r="D60">
        <v>0</v>
      </c>
      <c r="E60">
        <v>0</v>
      </c>
      <c r="F60">
        <v>838.83</v>
      </c>
    </row>
    <row r="61" spans="1:11" x14ac:dyDescent="0.3">
      <c r="A61" t="s">
        <v>12</v>
      </c>
      <c r="B61">
        <v>2001</v>
      </c>
      <c r="C61">
        <v>3</v>
      </c>
      <c r="D61">
        <v>0</v>
      </c>
      <c r="E61">
        <v>0</v>
      </c>
      <c r="F61">
        <v>853</v>
      </c>
    </row>
    <row r="62" spans="1:11" x14ac:dyDescent="0.3">
      <c r="A62" t="s">
        <v>12</v>
      </c>
      <c r="B62">
        <v>12</v>
      </c>
      <c r="C62">
        <v>7</v>
      </c>
      <c r="D62">
        <v>12906010.736816401</v>
      </c>
      <c r="E62">
        <v>0</v>
      </c>
      <c r="F62">
        <v>867.82</v>
      </c>
      <c r="G62" t="s">
        <v>8</v>
      </c>
      <c r="H62">
        <v>3</v>
      </c>
      <c r="I62">
        <f t="shared" ref="I62:J64" si="9">D62/(C62+D62)</f>
        <v>0.99999945761735787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12</v>
      </c>
      <c r="B63">
        <v>12</v>
      </c>
      <c r="C63">
        <v>9</v>
      </c>
      <c r="D63">
        <v>13191696.1875</v>
      </c>
      <c r="E63">
        <v>0</v>
      </c>
      <c r="F63">
        <v>882.74</v>
      </c>
      <c r="G63" t="s">
        <v>8</v>
      </c>
      <c r="H63">
        <v>3</v>
      </c>
      <c r="I63">
        <f t="shared" si="9"/>
        <v>0.99999931775309769</v>
      </c>
      <c r="J63" s="6">
        <f t="shared" si="9"/>
        <v>0</v>
      </c>
      <c r="K63" s="2">
        <f>(J63*$N$3)/$N$2</f>
        <v>0</v>
      </c>
    </row>
    <row r="64" spans="1:11" x14ac:dyDescent="0.3">
      <c r="A64" t="s">
        <v>12</v>
      </c>
      <c r="B64">
        <v>12</v>
      </c>
      <c r="C64">
        <v>11</v>
      </c>
      <c r="D64">
        <v>13807827.815429701</v>
      </c>
      <c r="E64">
        <v>0</v>
      </c>
      <c r="F64">
        <v>897.7</v>
      </c>
      <c r="G64" t="s">
        <v>8</v>
      </c>
      <c r="H64">
        <v>3</v>
      </c>
      <c r="I64">
        <f t="shared" si="9"/>
        <v>0.99999920335107129</v>
      </c>
      <c r="J64" s="6">
        <f t="shared" si="9"/>
        <v>0</v>
      </c>
      <c r="K64" s="2">
        <f>(J64*$N$3)/$N$2</f>
        <v>0</v>
      </c>
    </row>
    <row r="65" spans="1:11" x14ac:dyDescent="0.3">
      <c r="A65" t="s">
        <v>12</v>
      </c>
      <c r="B65">
        <v>2001</v>
      </c>
      <c r="C65">
        <v>2</v>
      </c>
      <c r="D65">
        <v>0</v>
      </c>
      <c r="E65">
        <v>0</v>
      </c>
      <c r="F65">
        <v>912.15</v>
      </c>
    </row>
    <row r="66" spans="1:11" x14ac:dyDescent="0.3">
      <c r="A66" t="s">
        <v>12</v>
      </c>
      <c r="B66">
        <v>2001</v>
      </c>
      <c r="C66">
        <v>3</v>
      </c>
      <c r="D66">
        <v>0</v>
      </c>
      <c r="E66">
        <v>0</v>
      </c>
      <c r="F66">
        <v>926.33</v>
      </c>
    </row>
    <row r="67" spans="1:11" x14ac:dyDescent="0.3">
      <c r="A67" t="s">
        <v>12</v>
      </c>
      <c r="B67">
        <v>2001</v>
      </c>
      <c r="C67">
        <v>2</v>
      </c>
      <c r="D67">
        <v>0</v>
      </c>
      <c r="E67">
        <v>0</v>
      </c>
      <c r="F67">
        <v>940.68</v>
      </c>
    </row>
    <row r="68" spans="1:11" x14ac:dyDescent="0.3">
      <c r="A68" t="s">
        <v>12</v>
      </c>
      <c r="B68">
        <v>2001</v>
      </c>
      <c r="C68">
        <v>3</v>
      </c>
      <c r="D68">
        <v>0</v>
      </c>
      <c r="E68">
        <v>0</v>
      </c>
      <c r="F68">
        <v>954.87</v>
      </c>
    </row>
    <row r="69" spans="1:11" x14ac:dyDescent="0.3">
      <c r="A69" t="s">
        <v>12</v>
      </c>
      <c r="B69">
        <v>11</v>
      </c>
      <c r="C69">
        <v>1</v>
      </c>
      <c r="D69">
        <v>10722674.7724609</v>
      </c>
      <c r="E69">
        <v>0</v>
      </c>
      <c r="F69">
        <v>969.86</v>
      </c>
      <c r="G69" t="s">
        <v>7</v>
      </c>
      <c r="H69">
        <v>5</v>
      </c>
      <c r="I69">
        <f t="shared" ref="I69:J71" si="10">D69/(C69+D69)</f>
        <v>0.99999990673969619</v>
      </c>
      <c r="J69" s="6">
        <f t="shared" si="10"/>
        <v>0</v>
      </c>
      <c r="K69" s="2">
        <f>(J69*$N$3)/$N$2</f>
        <v>0</v>
      </c>
    </row>
    <row r="70" spans="1:11" x14ac:dyDescent="0.3">
      <c r="A70" t="s">
        <v>12</v>
      </c>
      <c r="B70">
        <v>11</v>
      </c>
      <c r="C70">
        <v>3</v>
      </c>
      <c r="D70">
        <v>11516216.997070299</v>
      </c>
      <c r="E70">
        <v>0</v>
      </c>
      <c r="F70">
        <v>984.71</v>
      </c>
      <c r="G70" t="s">
        <v>7</v>
      </c>
      <c r="H70">
        <v>5</v>
      </c>
      <c r="I70">
        <f t="shared" si="10"/>
        <v>0.99999973949785603</v>
      </c>
      <c r="J70" s="6">
        <f t="shared" si="10"/>
        <v>0</v>
      </c>
      <c r="K70" s="2">
        <f>(J70*$N$3)/$N$2</f>
        <v>0</v>
      </c>
    </row>
    <row r="71" spans="1:11" x14ac:dyDescent="0.3">
      <c r="A71" t="s">
        <v>12</v>
      </c>
      <c r="B71">
        <v>11</v>
      </c>
      <c r="C71">
        <v>5</v>
      </c>
      <c r="D71">
        <v>10925607.6337891</v>
      </c>
      <c r="E71">
        <v>0</v>
      </c>
      <c r="F71">
        <v>999.7</v>
      </c>
      <c r="G71" t="s">
        <v>7</v>
      </c>
      <c r="H71">
        <v>5</v>
      </c>
      <c r="I71">
        <f t="shared" si="10"/>
        <v>0.99999954235975885</v>
      </c>
      <c r="J71" s="6">
        <f t="shared" si="10"/>
        <v>0</v>
      </c>
      <c r="K71" s="2">
        <f>(J71*$N$3)/$N$2</f>
        <v>0</v>
      </c>
    </row>
    <row r="72" spans="1:11" x14ac:dyDescent="0.3">
      <c r="A72" t="s">
        <v>12</v>
      </c>
      <c r="B72">
        <v>2001</v>
      </c>
      <c r="C72">
        <v>2</v>
      </c>
      <c r="D72">
        <v>0</v>
      </c>
      <c r="E72">
        <v>0</v>
      </c>
      <c r="F72">
        <v>1014.02</v>
      </c>
    </row>
    <row r="73" spans="1:11" x14ac:dyDescent="0.3">
      <c r="A73" t="s">
        <v>12</v>
      </c>
      <c r="B73">
        <v>2001</v>
      </c>
      <c r="C73">
        <v>3</v>
      </c>
      <c r="D73">
        <v>0</v>
      </c>
      <c r="E73">
        <v>0</v>
      </c>
      <c r="F73">
        <v>1028.31</v>
      </c>
    </row>
    <row r="74" spans="1:11" x14ac:dyDescent="0.3">
      <c r="A74" t="s">
        <v>12</v>
      </c>
      <c r="B74">
        <v>11</v>
      </c>
      <c r="C74">
        <v>7</v>
      </c>
      <c r="D74">
        <v>13009156.3945313</v>
      </c>
      <c r="E74">
        <v>0</v>
      </c>
      <c r="F74">
        <v>1043.1300000000001</v>
      </c>
      <c r="G74" t="s">
        <v>8</v>
      </c>
      <c r="H74">
        <v>5</v>
      </c>
      <c r="I74">
        <f t="shared" ref="I74:J76" si="11">D74/(C74+D74)</f>
        <v>0.99999946191774303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12</v>
      </c>
      <c r="B75">
        <v>11</v>
      </c>
      <c r="C75">
        <v>9</v>
      </c>
      <c r="D75">
        <v>12687886.0703125</v>
      </c>
      <c r="E75">
        <v>0</v>
      </c>
      <c r="F75">
        <v>1058.0999999999999</v>
      </c>
      <c r="G75" t="s">
        <v>8</v>
      </c>
      <c r="H75">
        <v>5</v>
      </c>
      <c r="I75">
        <f t="shared" si="11"/>
        <v>0.99999929066248183</v>
      </c>
      <c r="J75" s="6">
        <f t="shared" si="11"/>
        <v>0</v>
      </c>
      <c r="K75" s="2">
        <f>(J75*$N$3)/$N$2</f>
        <v>0</v>
      </c>
    </row>
    <row r="76" spans="1:11" x14ac:dyDescent="0.3">
      <c r="A76" t="s">
        <v>12</v>
      </c>
      <c r="B76">
        <v>11</v>
      </c>
      <c r="C76">
        <v>11</v>
      </c>
      <c r="D76">
        <v>12594829.458007799</v>
      </c>
      <c r="E76">
        <v>0</v>
      </c>
      <c r="F76">
        <v>1072.95</v>
      </c>
      <c r="G76" t="s">
        <v>8</v>
      </c>
      <c r="H76">
        <v>5</v>
      </c>
      <c r="I76">
        <f t="shared" si="11"/>
        <v>0.99999912662649149</v>
      </c>
      <c r="J76" s="6">
        <f t="shared" si="11"/>
        <v>0</v>
      </c>
      <c r="K76" s="2">
        <f>(J76*$N$3)/$N$2</f>
        <v>0</v>
      </c>
    </row>
    <row r="77" spans="1:11" x14ac:dyDescent="0.3">
      <c r="A77" t="s">
        <v>12</v>
      </c>
      <c r="B77">
        <v>2001</v>
      </c>
      <c r="C77">
        <v>2</v>
      </c>
      <c r="D77">
        <v>0</v>
      </c>
      <c r="E77">
        <v>0</v>
      </c>
      <c r="F77">
        <v>1087.42</v>
      </c>
    </row>
    <row r="78" spans="1:11" x14ac:dyDescent="0.3">
      <c r="A78" t="s">
        <v>12</v>
      </c>
      <c r="B78">
        <v>2001</v>
      </c>
      <c r="C78">
        <v>3</v>
      </c>
      <c r="D78">
        <v>0</v>
      </c>
      <c r="E78">
        <v>0</v>
      </c>
      <c r="F78">
        <v>1101.5999999999999</v>
      </c>
    </row>
    <row r="79" spans="1:11" x14ac:dyDescent="0.3">
      <c r="A79" t="s">
        <v>12</v>
      </c>
      <c r="B79">
        <v>2001</v>
      </c>
      <c r="C79">
        <v>2</v>
      </c>
      <c r="D79">
        <v>0</v>
      </c>
      <c r="E79">
        <v>0</v>
      </c>
      <c r="F79">
        <v>1116.06</v>
      </c>
    </row>
    <row r="80" spans="1:11" x14ac:dyDescent="0.3">
      <c r="A80" t="s">
        <v>12</v>
      </c>
      <c r="B80">
        <v>2001</v>
      </c>
      <c r="C80">
        <v>3</v>
      </c>
      <c r="D80">
        <v>0</v>
      </c>
      <c r="E80">
        <v>0</v>
      </c>
      <c r="F80">
        <v>1130.25</v>
      </c>
    </row>
    <row r="81" spans="1:11" x14ac:dyDescent="0.3">
      <c r="A81" t="s">
        <v>12</v>
      </c>
      <c r="B81">
        <v>10</v>
      </c>
      <c r="C81">
        <v>1</v>
      </c>
      <c r="D81">
        <v>9588271.92578125</v>
      </c>
      <c r="E81">
        <v>0</v>
      </c>
      <c r="F81">
        <v>1145.0899999999999</v>
      </c>
      <c r="G81" t="s">
        <v>7</v>
      </c>
      <c r="H81">
        <v>10</v>
      </c>
      <c r="I81">
        <f t="shared" ref="I81:J83" si="12">D81/(C81+D81)</f>
        <v>0.99999989570593084</v>
      </c>
      <c r="J81" s="6">
        <f t="shared" si="12"/>
        <v>0</v>
      </c>
      <c r="K81" s="2">
        <f>(J81*$N$3)/$N$2</f>
        <v>0</v>
      </c>
    </row>
    <row r="82" spans="1:11" x14ac:dyDescent="0.3">
      <c r="A82" t="s">
        <v>12</v>
      </c>
      <c r="B82">
        <v>10</v>
      </c>
      <c r="C82">
        <v>3</v>
      </c>
      <c r="D82">
        <v>11208225.689453101</v>
      </c>
      <c r="E82">
        <v>0</v>
      </c>
      <c r="F82">
        <v>1160.03</v>
      </c>
      <c r="G82" t="s">
        <v>7</v>
      </c>
      <c r="H82">
        <v>10</v>
      </c>
      <c r="I82">
        <f t="shared" si="12"/>
        <v>0.99999973233950845</v>
      </c>
      <c r="J82" s="6">
        <f t="shared" si="12"/>
        <v>0</v>
      </c>
      <c r="K82" s="2">
        <f>(J82*$N$3)/$N$2</f>
        <v>0</v>
      </c>
    </row>
    <row r="83" spans="1:11" x14ac:dyDescent="0.3">
      <c r="A83" t="s">
        <v>12</v>
      </c>
      <c r="B83">
        <v>10</v>
      </c>
      <c r="C83">
        <v>5</v>
      </c>
      <c r="D83">
        <v>9960095.8720703106</v>
      </c>
      <c r="E83">
        <v>0</v>
      </c>
      <c r="F83">
        <v>1174.95</v>
      </c>
      <c r="G83" t="s">
        <v>7</v>
      </c>
      <c r="H83">
        <v>10</v>
      </c>
      <c r="I83">
        <f t="shared" si="12"/>
        <v>0.99999949799705201</v>
      </c>
      <c r="J83" s="6">
        <f t="shared" si="12"/>
        <v>0</v>
      </c>
      <c r="K83" s="2">
        <f>(J83*$N$3)/$N$2</f>
        <v>0</v>
      </c>
    </row>
    <row r="84" spans="1:11" x14ac:dyDescent="0.3">
      <c r="A84" t="s">
        <v>12</v>
      </c>
      <c r="B84">
        <v>2001</v>
      </c>
      <c r="C84">
        <v>2</v>
      </c>
      <c r="D84">
        <v>0</v>
      </c>
      <c r="E84">
        <v>0</v>
      </c>
      <c r="F84">
        <v>1189.4000000000001</v>
      </c>
    </row>
    <row r="85" spans="1:11" x14ac:dyDescent="0.3">
      <c r="A85" t="s">
        <v>12</v>
      </c>
      <c r="B85">
        <v>2001</v>
      </c>
      <c r="C85">
        <v>3</v>
      </c>
      <c r="D85">
        <v>0</v>
      </c>
      <c r="E85">
        <v>0</v>
      </c>
      <c r="F85">
        <v>1203.5899999999999</v>
      </c>
    </row>
    <row r="86" spans="1:11" x14ac:dyDescent="0.3">
      <c r="A86" t="s">
        <v>12</v>
      </c>
      <c r="B86">
        <v>10</v>
      </c>
      <c r="C86">
        <v>7</v>
      </c>
      <c r="D86">
        <v>13031495.362793</v>
      </c>
      <c r="E86">
        <v>0</v>
      </c>
      <c r="F86">
        <v>1218.3900000000001</v>
      </c>
      <c r="G86" t="s">
        <v>8</v>
      </c>
      <c r="H86">
        <v>10</v>
      </c>
      <c r="I86">
        <f t="shared" ref="I86:J88" si="13">D86/(C86+D86)</f>
        <v>0.99999946284013885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12</v>
      </c>
      <c r="B87">
        <v>10</v>
      </c>
      <c r="C87">
        <v>9</v>
      </c>
      <c r="D87">
        <v>12975429.396484399</v>
      </c>
      <c r="E87">
        <v>0</v>
      </c>
      <c r="F87">
        <v>1233.0999999999999</v>
      </c>
      <c r="G87" t="s">
        <v>8</v>
      </c>
      <c r="H87">
        <v>10</v>
      </c>
      <c r="I87">
        <f t="shared" si="13"/>
        <v>0.99999930638181733</v>
      </c>
      <c r="J87" s="6">
        <f t="shared" si="13"/>
        <v>0</v>
      </c>
      <c r="K87" s="2">
        <f>(J87*$N$3)/$N$2</f>
        <v>0</v>
      </c>
    </row>
    <row r="88" spans="1:11" x14ac:dyDescent="0.3">
      <c r="A88" t="s">
        <v>12</v>
      </c>
      <c r="B88">
        <v>10</v>
      </c>
      <c r="C88">
        <v>11</v>
      </c>
      <c r="D88">
        <v>12927864.296875</v>
      </c>
      <c r="E88">
        <v>0</v>
      </c>
      <c r="F88">
        <v>1247.8</v>
      </c>
      <c r="G88" t="s">
        <v>8</v>
      </c>
      <c r="H88">
        <v>10</v>
      </c>
      <c r="I88">
        <f t="shared" si="13"/>
        <v>0.99999914912545584</v>
      </c>
      <c r="J88" s="6">
        <f t="shared" si="13"/>
        <v>0</v>
      </c>
      <c r="K88" s="2">
        <f>(J88*$N$3)/$N$2</f>
        <v>0</v>
      </c>
    </row>
    <row r="89" spans="1:11" x14ac:dyDescent="0.3">
      <c r="A89" t="s">
        <v>12</v>
      </c>
      <c r="B89">
        <v>2001</v>
      </c>
      <c r="C89">
        <v>2</v>
      </c>
      <c r="D89">
        <v>0</v>
      </c>
      <c r="E89">
        <v>0</v>
      </c>
      <c r="F89">
        <v>1262.23</v>
      </c>
    </row>
    <row r="90" spans="1:11" x14ac:dyDescent="0.3">
      <c r="A90" t="s">
        <v>12</v>
      </c>
      <c r="B90">
        <v>2001</v>
      </c>
      <c r="C90">
        <v>3</v>
      </c>
      <c r="D90">
        <v>0</v>
      </c>
      <c r="E90">
        <v>0</v>
      </c>
      <c r="F90">
        <v>1276.43</v>
      </c>
    </row>
    <row r="91" spans="1:11" x14ac:dyDescent="0.3">
      <c r="A91" t="s">
        <v>12</v>
      </c>
      <c r="B91">
        <v>2001</v>
      </c>
      <c r="C91">
        <v>2</v>
      </c>
      <c r="D91">
        <v>0</v>
      </c>
      <c r="E91">
        <v>0</v>
      </c>
      <c r="F91">
        <v>1290.75</v>
      </c>
    </row>
    <row r="92" spans="1:11" x14ac:dyDescent="0.3">
      <c r="A92" t="s">
        <v>12</v>
      </c>
      <c r="B92">
        <v>2001</v>
      </c>
      <c r="C92">
        <v>3</v>
      </c>
      <c r="D92">
        <v>0</v>
      </c>
      <c r="E92">
        <v>0</v>
      </c>
      <c r="F92">
        <v>1305.05</v>
      </c>
    </row>
    <row r="93" spans="1:11" x14ac:dyDescent="0.3">
      <c r="A93" t="s">
        <v>12</v>
      </c>
      <c r="B93">
        <v>9</v>
      </c>
      <c r="C93">
        <v>1</v>
      </c>
      <c r="D93">
        <v>8718125.65771484</v>
      </c>
      <c r="E93">
        <v>35524.8486328125</v>
      </c>
      <c r="F93">
        <v>1319.87</v>
      </c>
      <c r="G93" t="s">
        <v>7</v>
      </c>
      <c r="H93">
        <v>20</v>
      </c>
      <c r="I93">
        <f t="shared" ref="I93:J95" si="14">D93/(C93+D93)</f>
        <v>0.99999988529645878</v>
      </c>
      <c r="J93" s="6">
        <f t="shared" si="14"/>
        <v>4.0582895795362043E-3</v>
      </c>
      <c r="K93" s="2">
        <f>(J93*$N$3)/$N$2</f>
        <v>1.3936400494697312E-2</v>
      </c>
    </row>
    <row r="94" spans="1:11" x14ac:dyDescent="0.3">
      <c r="A94" t="s">
        <v>12</v>
      </c>
      <c r="B94">
        <v>9</v>
      </c>
      <c r="C94">
        <v>3</v>
      </c>
      <c r="D94">
        <v>10889575.684082</v>
      </c>
      <c r="E94">
        <v>36914.717285156301</v>
      </c>
      <c r="F94">
        <v>1334.8</v>
      </c>
      <c r="G94" t="s">
        <v>7</v>
      </c>
      <c r="H94">
        <v>20</v>
      </c>
      <c r="I94">
        <f t="shared" si="14"/>
        <v>0.99999972450724794</v>
      </c>
      <c r="J94" s="6">
        <f t="shared" si="14"/>
        <v>3.3784605970584498E-3</v>
      </c>
      <c r="K94" s="2">
        <f>(J94*$N$3)/$N$2</f>
        <v>1.1601828556931523E-2</v>
      </c>
    </row>
    <row r="95" spans="1:11" x14ac:dyDescent="0.3">
      <c r="A95" t="s">
        <v>12</v>
      </c>
      <c r="B95">
        <v>9</v>
      </c>
      <c r="C95">
        <v>5</v>
      </c>
      <c r="D95">
        <v>11678493.1806641</v>
      </c>
      <c r="E95">
        <v>43882.143066406301</v>
      </c>
      <c r="F95">
        <v>1349.72</v>
      </c>
      <c r="G95" t="s">
        <v>7</v>
      </c>
      <c r="H95">
        <v>20</v>
      </c>
      <c r="I95">
        <f t="shared" si="14"/>
        <v>0.99999957186275812</v>
      </c>
      <c r="J95" s="6">
        <f t="shared" si="14"/>
        <v>3.7434514639343021E-3</v>
      </c>
      <c r="K95" s="2">
        <f>(J95*$N$3)/$N$2</f>
        <v>1.2855228246135062E-2</v>
      </c>
    </row>
    <row r="96" spans="1:11" x14ac:dyDescent="0.3">
      <c r="A96" t="s">
        <v>12</v>
      </c>
      <c r="B96">
        <v>2001</v>
      </c>
      <c r="C96">
        <v>2</v>
      </c>
      <c r="D96">
        <v>0</v>
      </c>
      <c r="E96">
        <v>0</v>
      </c>
      <c r="F96">
        <v>1364.16</v>
      </c>
    </row>
    <row r="97" spans="1:11" x14ac:dyDescent="0.3">
      <c r="A97" t="s">
        <v>12</v>
      </c>
      <c r="B97">
        <v>2001</v>
      </c>
      <c r="C97">
        <v>3</v>
      </c>
      <c r="D97">
        <v>0</v>
      </c>
      <c r="E97">
        <v>0</v>
      </c>
      <c r="F97">
        <v>1378.29</v>
      </c>
    </row>
    <row r="98" spans="1:11" x14ac:dyDescent="0.3">
      <c r="A98" t="s">
        <v>12</v>
      </c>
      <c r="B98">
        <v>9</v>
      </c>
      <c r="C98">
        <v>7</v>
      </c>
      <c r="D98">
        <v>11686849.837890601</v>
      </c>
      <c r="E98">
        <v>0</v>
      </c>
      <c r="F98">
        <v>1393.28</v>
      </c>
      <c r="G98" t="s">
        <v>8</v>
      </c>
      <c r="H98">
        <v>20</v>
      </c>
      <c r="I98">
        <f t="shared" ref="I98:J100" si="15">D98/(C98+D98)</f>
        <v>0.99999940103655782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12</v>
      </c>
      <c r="B99">
        <v>9</v>
      </c>
      <c r="C99">
        <v>9</v>
      </c>
      <c r="D99">
        <v>12164409.699707</v>
      </c>
      <c r="E99">
        <v>0</v>
      </c>
      <c r="F99">
        <v>1407.88</v>
      </c>
      <c r="G99" t="s">
        <v>8</v>
      </c>
      <c r="H99">
        <v>20</v>
      </c>
      <c r="I99">
        <f t="shared" si="15"/>
        <v>0.99999926013727225</v>
      </c>
      <c r="J99" s="6">
        <f t="shared" si="15"/>
        <v>0</v>
      </c>
      <c r="K99" s="2">
        <f>(J99*$N$3)/$N$2</f>
        <v>0</v>
      </c>
    </row>
    <row r="100" spans="1:11" x14ac:dyDescent="0.3">
      <c r="A100" t="s">
        <v>12</v>
      </c>
      <c r="B100">
        <v>9</v>
      </c>
      <c r="C100">
        <v>11</v>
      </c>
      <c r="D100">
        <v>12846447.2460938</v>
      </c>
      <c r="E100">
        <v>0</v>
      </c>
      <c r="F100">
        <v>1422.58</v>
      </c>
      <c r="G100" t="s">
        <v>8</v>
      </c>
      <c r="H100">
        <v>20</v>
      </c>
      <c r="I100">
        <f t="shared" si="15"/>
        <v>0.9999991437328648</v>
      </c>
      <c r="J100" s="6">
        <f t="shared" si="15"/>
        <v>0</v>
      </c>
      <c r="K100" s="2">
        <f>(J100*$N$3)/$N$2</f>
        <v>0</v>
      </c>
    </row>
    <row r="101" spans="1:11" x14ac:dyDescent="0.3">
      <c r="A101" t="s">
        <v>12</v>
      </c>
      <c r="B101">
        <v>2001</v>
      </c>
      <c r="C101">
        <v>2</v>
      </c>
      <c r="D101">
        <v>0</v>
      </c>
      <c r="E101">
        <v>0</v>
      </c>
      <c r="F101">
        <v>1437.01</v>
      </c>
    </row>
    <row r="102" spans="1:11" x14ac:dyDescent="0.3">
      <c r="A102" t="s">
        <v>12</v>
      </c>
      <c r="B102">
        <v>2001</v>
      </c>
      <c r="C102">
        <v>3</v>
      </c>
      <c r="D102">
        <v>0</v>
      </c>
      <c r="E102">
        <v>0</v>
      </c>
      <c r="F102">
        <v>1451.23</v>
      </c>
    </row>
    <row r="103" spans="1:11" x14ac:dyDescent="0.3">
      <c r="A103" t="s">
        <v>12</v>
      </c>
      <c r="B103">
        <v>2001</v>
      </c>
      <c r="C103">
        <v>2</v>
      </c>
      <c r="D103">
        <v>0</v>
      </c>
      <c r="E103">
        <v>0</v>
      </c>
      <c r="F103">
        <v>1465.67</v>
      </c>
    </row>
    <row r="104" spans="1:11" x14ac:dyDescent="0.3">
      <c r="A104" t="s">
        <v>12</v>
      </c>
      <c r="B104">
        <v>2001</v>
      </c>
      <c r="C104">
        <v>3</v>
      </c>
      <c r="D104">
        <v>0</v>
      </c>
      <c r="E104">
        <v>0</v>
      </c>
      <c r="F104">
        <v>1479.86</v>
      </c>
    </row>
    <row r="105" spans="1:11" x14ac:dyDescent="0.3">
      <c r="A105" t="s">
        <v>12</v>
      </c>
      <c r="B105">
        <v>2001</v>
      </c>
      <c r="C105">
        <v>2</v>
      </c>
      <c r="D105">
        <v>0</v>
      </c>
      <c r="E105">
        <v>0</v>
      </c>
      <c r="F105">
        <v>1494.29</v>
      </c>
    </row>
    <row r="106" spans="1:11" x14ac:dyDescent="0.3">
      <c r="A106" t="s">
        <v>12</v>
      </c>
      <c r="B106">
        <v>2001</v>
      </c>
      <c r="C106">
        <v>3</v>
      </c>
      <c r="D106">
        <v>0</v>
      </c>
      <c r="E106">
        <v>0</v>
      </c>
      <c r="F106">
        <v>1508.43</v>
      </c>
    </row>
    <row r="107" spans="1:11" x14ac:dyDescent="0.3">
      <c r="A107" t="s">
        <v>12</v>
      </c>
      <c r="B107">
        <v>8</v>
      </c>
      <c r="C107">
        <v>1</v>
      </c>
      <c r="D107">
        <v>0</v>
      </c>
      <c r="E107">
        <v>0</v>
      </c>
      <c r="F107">
        <v>1523.28</v>
      </c>
      <c r="G107" t="s">
        <v>7</v>
      </c>
      <c r="H107">
        <v>40</v>
      </c>
      <c r="I107">
        <f t="shared" ref="I107:J109" si="16">D107/(C107+D107)</f>
        <v>0</v>
      </c>
      <c r="J107" s="6" t="e">
        <f t="shared" si="16"/>
        <v>#DIV/0!</v>
      </c>
      <c r="K107" s="2" t="e">
        <f>(J107*$N$3)/$N$2</f>
        <v>#DIV/0!</v>
      </c>
    </row>
    <row r="108" spans="1:11" x14ac:dyDescent="0.3">
      <c r="A108" t="s">
        <v>12</v>
      </c>
      <c r="B108">
        <v>8</v>
      </c>
      <c r="C108">
        <v>3</v>
      </c>
      <c r="D108">
        <v>0</v>
      </c>
      <c r="E108">
        <v>0</v>
      </c>
      <c r="F108">
        <v>1538.27</v>
      </c>
      <c r="G108" t="s">
        <v>7</v>
      </c>
      <c r="H108">
        <v>40</v>
      </c>
      <c r="I108">
        <f t="shared" si="16"/>
        <v>0</v>
      </c>
      <c r="J108" s="6" t="e">
        <f t="shared" si="16"/>
        <v>#DIV/0!</v>
      </c>
      <c r="K108" s="2" t="e">
        <f>(J108*$N$3)/$N$2</f>
        <v>#DIV/0!</v>
      </c>
    </row>
    <row r="109" spans="1:11" x14ac:dyDescent="0.3">
      <c r="A109" t="s">
        <v>12</v>
      </c>
      <c r="B109">
        <v>8</v>
      </c>
      <c r="C109">
        <v>5</v>
      </c>
      <c r="D109">
        <v>0</v>
      </c>
      <c r="E109">
        <v>0</v>
      </c>
      <c r="F109">
        <v>1553.08</v>
      </c>
      <c r="G109" t="s">
        <v>7</v>
      </c>
      <c r="H109">
        <v>40</v>
      </c>
      <c r="I109">
        <f t="shared" si="16"/>
        <v>0</v>
      </c>
      <c r="J109" s="6" t="e">
        <f t="shared" si="16"/>
        <v>#DIV/0!</v>
      </c>
      <c r="K109" s="2" t="e">
        <f>(J109*$N$3)/$N$2</f>
        <v>#DIV/0!</v>
      </c>
    </row>
    <row r="110" spans="1:11" x14ac:dyDescent="0.3">
      <c r="A110" t="s">
        <v>12</v>
      </c>
      <c r="B110">
        <v>2001</v>
      </c>
      <c r="C110">
        <v>2</v>
      </c>
      <c r="D110">
        <v>0</v>
      </c>
      <c r="E110">
        <v>0</v>
      </c>
      <c r="F110">
        <v>1567.56</v>
      </c>
    </row>
    <row r="111" spans="1:11" x14ac:dyDescent="0.3">
      <c r="A111" t="s">
        <v>12</v>
      </c>
      <c r="B111">
        <v>2001</v>
      </c>
      <c r="C111">
        <v>3</v>
      </c>
      <c r="D111">
        <v>0</v>
      </c>
      <c r="E111">
        <v>0</v>
      </c>
      <c r="F111">
        <v>1581.69</v>
      </c>
    </row>
    <row r="112" spans="1:11" x14ac:dyDescent="0.3">
      <c r="A112" t="s">
        <v>12</v>
      </c>
      <c r="B112">
        <v>2001</v>
      </c>
      <c r="C112">
        <v>2</v>
      </c>
      <c r="D112">
        <v>0</v>
      </c>
      <c r="E112">
        <v>0</v>
      </c>
      <c r="F112">
        <v>1596.15</v>
      </c>
    </row>
    <row r="113" spans="1:11" x14ac:dyDescent="0.3">
      <c r="A113" t="s">
        <v>12</v>
      </c>
      <c r="B113">
        <v>2001</v>
      </c>
      <c r="C113">
        <v>3</v>
      </c>
      <c r="D113">
        <v>0</v>
      </c>
      <c r="E113">
        <v>0</v>
      </c>
      <c r="F113">
        <v>1610.36</v>
      </c>
    </row>
    <row r="114" spans="1:11" x14ac:dyDescent="0.3">
      <c r="A114" t="s">
        <v>12</v>
      </c>
      <c r="B114">
        <v>8</v>
      </c>
      <c r="C114">
        <v>7</v>
      </c>
      <c r="D114">
        <v>0</v>
      </c>
      <c r="E114">
        <v>0</v>
      </c>
      <c r="F114">
        <v>1625.21</v>
      </c>
      <c r="G114" t="s">
        <v>8</v>
      </c>
      <c r="H114">
        <v>40</v>
      </c>
      <c r="I114">
        <f t="shared" ref="I114:J116" si="17">D114/(C114+D114)</f>
        <v>0</v>
      </c>
      <c r="J114" s="6" t="e">
        <f t="shared" si="17"/>
        <v>#DIV/0!</v>
      </c>
      <c r="K114" s="2" t="e">
        <f>(J114*$N$3)/$N$2</f>
        <v>#DIV/0!</v>
      </c>
    </row>
    <row r="115" spans="1:11" x14ac:dyDescent="0.3">
      <c r="A115" t="s">
        <v>12</v>
      </c>
      <c r="B115">
        <v>8</v>
      </c>
      <c r="C115">
        <v>9</v>
      </c>
      <c r="D115">
        <v>0</v>
      </c>
      <c r="E115">
        <v>0</v>
      </c>
      <c r="F115">
        <v>1639.96</v>
      </c>
      <c r="G115" t="s">
        <v>8</v>
      </c>
      <c r="H115">
        <v>40</v>
      </c>
      <c r="I115">
        <f t="shared" si="17"/>
        <v>0</v>
      </c>
      <c r="J115" s="6" t="e">
        <f t="shared" si="17"/>
        <v>#DIV/0!</v>
      </c>
      <c r="K115" s="2" t="e">
        <f>(J115*$N$3)/$N$2</f>
        <v>#DIV/0!</v>
      </c>
    </row>
    <row r="116" spans="1:11" x14ac:dyDescent="0.3">
      <c r="A116" t="s">
        <v>12</v>
      </c>
      <c r="B116">
        <v>8</v>
      </c>
      <c r="C116">
        <v>11</v>
      </c>
      <c r="D116">
        <v>0</v>
      </c>
      <c r="E116">
        <v>0</v>
      </c>
      <c r="F116">
        <v>1654.67</v>
      </c>
      <c r="G116" t="s">
        <v>8</v>
      </c>
      <c r="H116">
        <v>40</v>
      </c>
      <c r="I116">
        <f t="shared" si="17"/>
        <v>0</v>
      </c>
      <c r="J116" s="6" t="e">
        <f t="shared" si="17"/>
        <v>#DIV/0!</v>
      </c>
      <c r="K116" s="2" t="e">
        <f>(J116*$N$3)/$N$2</f>
        <v>#DIV/0!</v>
      </c>
    </row>
    <row r="117" spans="1:11" x14ac:dyDescent="0.3">
      <c r="A117" t="s">
        <v>12</v>
      </c>
      <c r="B117">
        <v>2001</v>
      </c>
      <c r="C117">
        <v>2</v>
      </c>
      <c r="D117">
        <v>0</v>
      </c>
      <c r="E117">
        <v>0</v>
      </c>
      <c r="F117">
        <v>1669.01</v>
      </c>
    </row>
    <row r="118" spans="1:11" x14ac:dyDescent="0.3">
      <c r="A118" t="s">
        <v>12</v>
      </c>
      <c r="B118">
        <v>2001</v>
      </c>
      <c r="C118">
        <v>3</v>
      </c>
      <c r="D118">
        <v>0</v>
      </c>
      <c r="E118">
        <v>0</v>
      </c>
      <c r="F118">
        <v>1683.2</v>
      </c>
    </row>
    <row r="119" spans="1:11" x14ac:dyDescent="0.3">
      <c r="A119" t="s">
        <v>12</v>
      </c>
      <c r="B119">
        <v>2001</v>
      </c>
      <c r="C119">
        <v>2</v>
      </c>
      <c r="D119">
        <v>0</v>
      </c>
      <c r="E119">
        <v>0</v>
      </c>
      <c r="F119">
        <v>1697.64</v>
      </c>
    </row>
    <row r="120" spans="1:11" x14ac:dyDescent="0.3">
      <c r="A120" t="s">
        <v>12</v>
      </c>
      <c r="B120">
        <v>2001</v>
      </c>
      <c r="C120">
        <v>3</v>
      </c>
      <c r="D120">
        <v>0</v>
      </c>
      <c r="E120">
        <v>0</v>
      </c>
      <c r="F120">
        <v>1711.84</v>
      </c>
    </row>
    <row r="121" spans="1:11" x14ac:dyDescent="0.3">
      <c r="A121" t="s">
        <v>12</v>
      </c>
      <c r="B121">
        <v>7</v>
      </c>
      <c r="C121">
        <v>1</v>
      </c>
      <c r="D121">
        <v>10422888.8393555</v>
      </c>
      <c r="E121">
        <v>219745.80761718799</v>
      </c>
      <c r="F121">
        <v>1726.8</v>
      </c>
      <c r="G121" t="s">
        <v>7</v>
      </c>
      <c r="H121">
        <v>60</v>
      </c>
      <c r="I121">
        <f t="shared" ref="I121:J123" si="18">D121/(C121+D121)</f>
        <v>0.99999990405731853</v>
      </c>
      <c r="J121" s="6">
        <f t="shared" si="18"/>
        <v>2.0647688744975849E-2</v>
      </c>
      <c r="K121" s="2">
        <f>(J121*$N$3)/$N$2</f>
        <v>7.0905354090755435E-2</v>
      </c>
    </row>
    <row r="122" spans="1:11" x14ac:dyDescent="0.3">
      <c r="A122" t="s">
        <v>12</v>
      </c>
      <c r="B122">
        <v>7</v>
      </c>
      <c r="C122">
        <v>3</v>
      </c>
      <c r="D122">
        <v>5978837.2832031297</v>
      </c>
      <c r="E122">
        <v>75701.8681640625</v>
      </c>
      <c r="F122">
        <v>1741.74</v>
      </c>
      <c r="G122" t="s">
        <v>7</v>
      </c>
      <c r="H122">
        <v>60</v>
      </c>
      <c r="I122">
        <f t="shared" si="18"/>
        <v>0.99999949823044976</v>
      </c>
      <c r="J122" s="6">
        <f t="shared" si="18"/>
        <v>1.2503324575408526E-2</v>
      </c>
      <c r="K122" s="2">
        <f>(J122*$N$3)/$N$2</f>
        <v>4.293713777270633E-2</v>
      </c>
    </row>
    <row r="123" spans="1:11" x14ac:dyDescent="0.3">
      <c r="A123" t="s">
        <v>12</v>
      </c>
      <c r="B123">
        <v>7</v>
      </c>
      <c r="C123">
        <v>5</v>
      </c>
      <c r="D123">
        <v>8123040.82421875</v>
      </c>
      <c r="E123">
        <v>119337.650390625</v>
      </c>
      <c r="F123">
        <v>1756.55</v>
      </c>
      <c r="G123" t="s">
        <v>7</v>
      </c>
      <c r="H123">
        <v>60</v>
      </c>
      <c r="I123">
        <f t="shared" si="18"/>
        <v>0.99999938446734038</v>
      </c>
      <c r="J123" s="6">
        <f t="shared" si="18"/>
        <v>1.4478545332302358E-2</v>
      </c>
      <c r="K123" s="2">
        <f>(J123*$N$3)/$N$2</f>
        <v>4.9720159780874011E-2</v>
      </c>
    </row>
    <row r="124" spans="1:11" x14ac:dyDescent="0.3">
      <c r="A124" t="s">
        <v>12</v>
      </c>
      <c r="B124">
        <v>2001</v>
      </c>
      <c r="C124">
        <v>2</v>
      </c>
      <c r="D124">
        <v>0</v>
      </c>
      <c r="E124">
        <v>0</v>
      </c>
      <c r="F124">
        <v>1770.97</v>
      </c>
    </row>
    <row r="125" spans="1:11" x14ac:dyDescent="0.3">
      <c r="A125" t="s">
        <v>12</v>
      </c>
      <c r="B125">
        <v>2001</v>
      </c>
      <c r="C125">
        <v>3</v>
      </c>
      <c r="D125">
        <v>0</v>
      </c>
      <c r="E125">
        <v>0</v>
      </c>
      <c r="F125">
        <v>1785.16</v>
      </c>
    </row>
    <row r="126" spans="1:11" x14ac:dyDescent="0.3">
      <c r="A126" t="s">
        <v>12</v>
      </c>
      <c r="B126">
        <v>2001</v>
      </c>
      <c r="C126">
        <v>2</v>
      </c>
      <c r="D126">
        <v>0</v>
      </c>
      <c r="E126">
        <v>0</v>
      </c>
      <c r="F126">
        <v>1799.48</v>
      </c>
    </row>
    <row r="127" spans="1:11" x14ac:dyDescent="0.3">
      <c r="A127" t="s">
        <v>12</v>
      </c>
      <c r="B127">
        <v>2001</v>
      </c>
      <c r="C127">
        <v>3</v>
      </c>
      <c r="D127">
        <v>0</v>
      </c>
      <c r="E127">
        <v>0</v>
      </c>
      <c r="F127">
        <v>1813.76</v>
      </c>
    </row>
    <row r="128" spans="1:11" x14ac:dyDescent="0.3">
      <c r="A128" t="s">
        <v>12</v>
      </c>
      <c r="B128">
        <v>7</v>
      </c>
      <c r="C128">
        <v>7</v>
      </c>
      <c r="D128">
        <v>12442011.9765625</v>
      </c>
      <c r="E128">
        <v>0</v>
      </c>
      <c r="F128">
        <v>1828.68</v>
      </c>
      <c r="G128" t="s">
        <v>8</v>
      </c>
      <c r="H128">
        <v>60</v>
      </c>
      <c r="I128">
        <f t="shared" ref="I128:J130" si="19">D128/(C128+D128)</f>
        <v>0.99999943739034536</v>
      </c>
      <c r="J128" s="6">
        <f t="shared" si="19"/>
        <v>0</v>
      </c>
      <c r="K128" s="2">
        <f>(J128*$N$3)/$N$2</f>
        <v>0</v>
      </c>
    </row>
    <row r="129" spans="1:11" x14ac:dyDescent="0.3">
      <c r="A129" t="s">
        <v>12</v>
      </c>
      <c r="B129">
        <v>7</v>
      </c>
      <c r="C129">
        <v>9</v>
      </c>
      <c r="D129">
        <v>8883606.5234375</v>
      </c>
      <c r="E129">
        <v>0</v>
      </c>
      <c r="F129">
        <v>1843.38</v>
      </c>
      <c r="G129" t="s">
        <v>8</v>
      </c>
      <c r="H129">
        <v>60</v>
      </c>
      <c r="I129">
        <f t="shared" si="19"/>
        <v>0.99999898689897415</v>
      </c>
      <c r="J129" s="6">
        <f t="shared" si="19"/>
        <v>0</v>
      </c>
      <c r="K129" s="2">
        <f>(J129*$N$3)/$N$2</f>
        <v>0</v>
      </c>
    </row>
    <row r="130" spans="1:11" x14ac:dyDescent="0.3">
      <c r="A130" t="s">
        <v>12</v>
      </c>
      <c r="B130">
        <v>7</v>
      </c>
      <c r="C130">
        <v>11</v>
      </c>
      <c r="D130">
        <v>7027633.6987304697</v>
      </c>
      <c r="E130">
        <v>0</v>
      </c>
      <c r="F130">
        <v>1858.08</v>
      </c>
      <c r="G130" t="s">
        <v>8</v>
      </c>
      <c r="H130">
        <v>60</v>
      </c>
      <c r="I130">
        <f t="shared" si="19"/>
        <v>0.9999984347529689</v>
      </c>
      <c r="J130" s="6">
        <f t="shared" si="19"/>
        <v>0</v>
      </c>
      <c r="K130" s="2">
        <f>(J130*$N$3)/$N$2</f>
        <v>0</v>
      </c>
    </row>
    <row r="131" spans="1:11" x14ac:dyDescent="0.3">
      <c r="A131" t="s">
        <v>12</v>
      </c>
      <c r="B131">
        <v>2001</v>
      </c>
      <c r="C131">
        <v>2</v>
      </c>
      <c r="D131">
        <v>0</v>
      </c>
      <c r="E131">
        <v>0</v>
      </c>
      <c r="F131">
        <v>1872.52</v>
      </c>
    </row>
    <row r="132" spans="1:11" x14ac:dyDescent="0.3">
      <c r="A132" t="s">
        <v>12</v>
      </c>
      <c r="B132">
        <v>2001</v>
      </c>
      <c r="C132">
        <v>3</v>
      </c>
      <c r="D132">
        <v>0</v>
      </c>
      <c r="E132">
        <v>0</v>
      </c>
      <c r="F132">
        <v>1886.71</v>
      </c>
    </row>
    <row r="133" spans="1:11" x14ac:dyDescent="0.3">
      <c r="A133" t="s">
        <v>12</v>
      </c>
      <c r="B133">
        <v>2001</v>
      </c>
      <c r="C133">
        <v>2</v>
      </c>
      <c r="D133">
        <v>0</v>
      </c>
      <c r="E133">
        <v>0</v>
      </c>
      <c r="F133">
        <v>1901.04</v>
      </c>
    </row>
    <row r="134" spans="1:11" x14ac:dyDescent="0.3">
      <c r="A134" t="s">
        <v>12</v>
      </c>
      <c r="B134">
        <v>2001</v>
      </c>
      <c r="C134">
        <v>3</v>
      </c>
      <c r="D134">
        <v>0</v>
      </c>
      <c r="E134">
        <v>0</v>
      </c>
      <c r="F134">
        <v>1915.24</v>
      </c>
    </row>
    <row r="135" spans="1:11" x14ac:dyDescent="0.3">
      <c r="A135" t="s">
        <v>12</v>
      </c>
      <c r="B135">
        <v>6</v>
      </c>
      <c r="C135">
        <v>1</v>
      </c>
      <c r="D135">
        <v>12107.259277343799</v>
      </c>
      <c r="E135">
        <v>0</v>
      </c>
      <c r="F135">
        <v>1930.2</v>
      </c>
      <c r="G135" t="s">
        <v>7</v>
      </c>
      <c r="H135">
        <v>300</v>
      </c>
      <c r="I135">
        <f t="shared" ref="I135:J137" si="20">D135/(C135+D135)</f>
        <v>0.99991741174539672</v>
      </c>
      <c r="J135" s="6">
        <f t="shared" si="20"/>
        <v>0</v>
      </c>
      <c r="K135" s="2">
        <f>(J135*$N$3)/$N$2</f>
        <v>0</v>
      </c>
    </row>
    <row r="136" spans="1:11" x14ac:dyDescent="0.3">
      <c r="A136" t="s">
        <v>12</v>
      </c>
      <c r="B136">
        <v>6</v>
      </c>
      <c r="C136">
        <v>3</v>
      </c>
      <c r="D136">
        <v>0</v>
      </c>
      <c r="E136">
        <v>0</v>
      </c>
      <c r="F136">
        <v>1945.04</v>
      </c>
      <c r="G136" t="s">
        <v>7</v>
      </c>
      <c r="H136">
        <v>300</v>
      </c>
      <c r="I136">
        <f t="shared" si="20"/>
        <v>0</v>
      </c>
      <c r="J136" s="6" t="e">
        <f t="shared" si="20"/>
        <v>#DIV/0!</v>
      </c>
      <c r="K136" s="2" t="e">
        <f>(J136*$N$3)/$N$2</f>
        <v>#DIV/0!</v>
      </c>
    </row>
    <row r="137" spans="1:11" x14ac:dyDescent="0.3">
      <c r="A137" t="s">
        <v>12</v>
      </c>
      <c r="B137">
        <v>6</v>
      </c>
      <c r="C137">
        <v>5</v>
      </c>
      <c r="D137">
        <v>0</v>
      </c>
      <c r="E137">
        <v>0</v>
      </c>
      <c r="F137">
        <v>1960.04</v>
      </c>
      <c r="G137" t="s">
        <v>7</v>
      </c>
      <c r="H137">
        <v>300</v>
      </c>
      <c r="I137">
        <f t="shared" si="20"/>
        <v>0</v>
      </c>
      <c r="J137" s="6" t="e">
        <f t="shared" si="20"/>
        <v>#DIV/0!</v>
      </c>
      <c r="K137" s="2" t="e">
        <f>(J137*$N$3)/$N$2</f>
        <v>#DIV/0!</v>
      </c>
    </row>
    <row r="138" spans="1:11" x14ac:dyDescent="0.3">
      <c r="A138" t="s">
        <v>12</v>
      </c>
      <c r="B138">
        <v>2001</v>
      </c>
      <c r="C138">
        <v>2</v>
      </c>
      <c r="D138">
        <v>0</v>
      </c>
      <c r="E138">
        <v>0</v>
      </c>
      <c r="F138">
        <v>1974.37</v>
      </c>
    </row>
    <row r="139" spans="1:11" x14ac:dyDescent="0.3">
      <c r="A139" t="s">
        <v>12</v>
      </c>
      <c r="B139">
        <v>2001</v>
      </c>
      <c r="C139">
        <v>3</v>
      </c>
      <c r="D139">
        <v>0</v>
      </c>
      <c r="E139">
        <v>0</v>
      </c>
      <c r="F139">
        <v>1988.58</v>
      </c>
    </row>
    <row r="140" spans="1:11" x14ac:dyDescent="0.3">
      <c r="A140" t="s">
        <v>12</v>
      </c>
      <c r="B140">
        <v>2001</v>
      </c>
      <c r="C140">
        <v>2</v>
      </c>
      <c r="D140">
        <v>0</v>
      </c>
      <c r="E140">
        <v>0</v>
      </c>
      <c r="F140">
        <v>2002.99</v>
      </c>
    </row>
    <row r="141" spans="1:11" x14ac:dyDescent="0.3">
      <c r="A141" t="s">
        <v>12</v>
      </c>
      <c r="B141">
        <v>2001</v>
      </c>
      <c r="C141">
        <v>3</v>
      </c>
      <c r="D141">
        <v>0</v>
      </c>
      <c r="E141">
        <v>0</v>
      </c>
      <c r="F141">
        <v>2017.2</v>
      </c>
    </row>
    <row r="142" spans="1:11" x14ac:dyDescent="0.3">
      <c r="A142" t="s">
        <v>12</v>
      </c>
      <c r="B142">
        <v>6</v>
      </c>
      <c r="C142">
        <v>7</v>
      </c>
      <c r="D142">
        <v>0</v>
      </c>
      <c r="E142">
        <v>0</v>
      </c>
      <c r="F142">
        <v>2032.15</v>
      </c>
      <c r="G142" t="s">
        <v>8</v>
      </c>
      <c r="H142">
        <v>300</v>
      </c>
      <c r="I142">
        <f t="shared" ref="I142:J144" si="21">D142/(C142+D142)</f>
        <v>0</v>
      </c>
      <c r="J142" s="6" t="e">
        <f t="shared" si="21"/>
        <v>#DIV/0!</v>
      </c>
      <c r="K142" s="2" t="e">
        <f>(J142*$N$3)/$N$2</f>
        <v>#DIV/0!</v>
      </c>
    </row>
    <row r="143" spans="1:11" x14ac:dyDescent="0.3">
      <c r="A143" t="s">
        <v>12</v>
      </c>
      <c r="B143">
        <v>6</v>
      </c>
      <c r="C143">
        <v>9</v>
      </c>
      <c r="D143">
        <v>0</v>
      </c>
      <c r="E143">
        <v>0</v>
      </c>
      <c r="F143">
        <v>2046.86</v>
      </c>
      <c r="G143" t="s">
        <v>8</v>
      </c>
      <c r="H143">
        <v>300</v>
      </c>
      <c r="I143">
        <f t="shared" si="21"/>
        <v>0</v>
      </c>
      <c r="J143" s="6" t="e">
        <f t="shared" si="21"/>
        <v>#DIV/0!</v>
      </c>
      <c r="K143" s="2" t="e">
        <f>(J143*$N$3)/$N$2</f>
        <v>#DIV/0!</v>
      </c>
    </row>
    <row r="144" spans="1:11" x14ac:dyDescent="0.3">
      <c r="A144" t="s">
        <v>12</v>
      </c>
      <c r="B144">
        <v>6</v>
      </c>
      <c r="C144">
        <v>11</v>
      </c>
      <c r="D144">
        <v>0</v>
      </c>
      <c r="E144">
        <v>0</v>
      </c>
      <c r="F144">
        <v>2061.59</v>
      </c>
      <c r="G144" t="s">
        <v>8</v>
      </c>
      <c r="H144">
        <v>300</v>
      </c>
      <c r="I144">
        <f t="shared" si="21"/>
        <v>0</v>
      </c>
      <c r="J144" s="6" t="e">
        <f t="shared" si="21"/>
        <v>#DIV/0!</v>
      </c>
      <c r="K144" s="2" t="e">
        <f>(J144*$N$3)/$N$2</f>
        <v>#DIV/0!</v>
      </c>
    </row>
    <row r="145" spans="1:6" x14ac:dyDescent="0.3">
      <c r="A145" t="s">
        <v>12</v>
      </c>
      <c r="B145">
        <v>2001</v>
      </c>
      <c r="C145">
        <v>2</v>
      </c>
      <c r="D145">
        <v>0</v>
      </c>
      <c r="E145">
        <v>0</v>
      </c>
      <c r="F145">
        <v>2075.9299999999998</v>
      </c>
    </row>
    <row r="146" spans="1:6" x14ac:dyDescent="0.3">
      <c r="A146" t="s">
        <v>12</v>
      </c>
      <c r="B146">
        <v>2001</v>
      </c>
      <c r="C146">
        <v>3</v>
      </c>
      <c r="D146">
        <v>0</v>
      </c>
      <c r="E146">
        <v>0</v>
      </c>
      <c r="F146">
        <v>2090.0700000000002</v>
      </c>
    </row>
    <row r="147" spans="1:6" x14ac:dyDescent="0.3">
      <c r="A147" t="s">
        <v>12</v>
      </c>
      <c r="B147">
        <v>2001</v>
      </c>
      <c r="C147">
        <v>2</v>
      </c>
      <c r="D147">
        <v>0</v>
      </c>
      <c r="E147">
        <v>0</v>
      </c>
      <c r="F147">
        <v>2104.52</v>
      </c>
    </row>
    <row r="148" spans="1:6" x14ac:dyDescent="0.3">
      <c r="A148" t="s">
        <v>12</v>
      </c>
      <c r="B148">
        <v>2001</v>
      </c>
      <c r="C148">
        <v>3</v>
      </c>
      <c r="D148">
        <v>0</v>
      </c>
      <c r="E148">
        <v>0</v>
      </c>
      <c r="F148">
        <v>2118.46</v>
      </c>
    </row>
    <row r="149" spans="1:6" x14ac:dyDescent="0.3">
      <c r="A149" t="s">
        <v>12</v>
      </c>
      <c r="B149">
        <v>2001</v>
      </c>
      <c r="C149">
        <v>2</v>
      </c>
      <c r="D149">
        <v>0</v>
      </c>
      <c r="E149">
        <v>0</v>
      </c>
      <c r="F149">
        <v>2132.87</v>
      </c>
    </row>
    <row r="150" spans="1:6" x14ac:dyDescent="0.3">
      <c r="A150" t="s">
        <v>12</v>
      </c>
      <c r="B150">
        <v>2001</v>
      </c>
      <c r="C150">
        <v>3</v>
      </c>
      <c r="D150">
        <v>0</v>
      </c>
      <c r="E150">
        <v>0</v>
      </c>
      <c r="F150">
        <v>2147.12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C1CC1-782E-4DD2-BD66-14077018E9BE}">
  <dimension ref="A1:S148"/>
  <sheetViews>
    <sheetView topLeftCell="L1" workbookViewId="0">
      <selection activeCell="N9" sqref="N9:O19"/>
    </sheetView>
  </sheetViews>
  <sheetFormatPr defaultRowHeight="14.4" x14ac:dyDescent="0.3"/>
  <cols>
    <col min="10" max="10" width="8.88671875" style="6"/>
    <col min="14" max="15" width="9.33203125" bestFit="1" customWidth="1"/>
    <col min="19" max="19" width="9.33203125" bestFit="1" customWidth="1"/>
  </cols>
  <sheetData>
    <row r="1" spans="1:19" x14ac:dyDescent="0.3">
      <c r="A1" t="s">
        <v>13</v>
      </c>
    </row>
    <row r="2" spans="1:19" x14ac:dyDescent="0.3">
      <c r="A2" t="s">
        <v>1</v>
      </c>
      <c r="B2" t="s">
        <v>2</v>
      </c>
      <c r="C2" t="s">
        <v>3</v>
      </c>
      <c r="D2">
        <v>1442.73</v>
      </c>
      <c r="E2">
        <v>1474.73</v>
      </c>
      <c r="F2" t="s">
        <v>4</v>
      </c>
      <c r="G2" t="s">
        <v>6</v>
      </c>
      <c r="H2" t="s">
        <v>10</v>
      </c>
      <c r="I2" t="s">
        <v>19</v>
      </c>
      <c r="J2" s="6" t="s">
        <v>23</v>
      </c>
      <c r="K2" t="s">
        <v>16</v>
      </c>
      <c r="M2" t="s">
        <v>17</v>
      </c>
      <c r="N2">
        <v>2.6208062999999999E-3</v>
      </c>
    </row>
    <row r="3" spans="1:19" x14ac:dyDescent="0.3">
      <c r="A3" t="s">
        <v>12</v>
      </c>
      <c r="B3">
        <v>2001</v>
      </c>
      <c r="C3">
        <v>2</v>
      </c>
      <c r="D3">
        <v>0</v>
      </c>
      <c r="E3">
        <v>0</v>
      </c>
      <c r="F3">
        <v>5.49</v>
      </c>
      <c r="M3" t="s">
        <v>18</v>
      </c>
      <c r="N3" s="2">
        <v>8.9999999999999993E-3</v>
      </c>
      <c r="O3" s="2"/>
    </row>
    <row r="4" spans="1:19" x14ac:dyDescent="0.3">
      <c r="A4" t="s">
        <v>12</v>
      </c>
      <c r="B4">
        <v>2001</v>
      </c>
      <c r="C4">
        <v>3</v>
      </c>
      <c r="D4">
        <v>0</v>
      </c>
      <c r="E4">
        <v>0</v>
      </c>
      <c r="F4">
        <v>19.78</v>
      </c>
    </row>
    <row r="5" spans="1:19" x14ac:dyDescent="0.3">
      <c r="A5" t="s">
        <v>12</v>
      </c>
      <c r="B5">
        <v>2001</v>
      </c>
      <c r="C5">
        <v>2</v>
      </c>
      <c r="D5">
        <v>0</v>
      </c>
      <c r="E5">
        <v>0</v>
      </c>
      <c r="F5">
        <v>34.090000000000003</v>
      </c>
    </row>
    <row r="6" spans="1:19" x14ac:dyDescent="0.3">
      <c r="A6" t="s">
        <v>12</v>
      </c>
      <c r="B6">
        <v>2001</v>
      </c>
      <c r="C6">
        <v>3</v>
      </c>
      <c r="D6">
        <v>0</v>
      </c>
      <c r="E6">
        <v>0</v>
      </c>
      <c r="F6">
        <v>48.4</v>
      </c>
    </row>
    <row r="7" spans="1:19" ht="15.6" x14ac:dyDescent="0.3">
      <c r="A7" t="s">
        <v>12</v>
      </c>
      <c r="B7">
        <v>16</v>
      </c>
      <c r="C7">
        <v>14</v>
      </c>
      <c r="D7">
        <v>3511395.7988281301</v>
      </c>
      <c r="E7">
        <v>0</v>
      </c>
      <c r="F7">
        <v>63.24</v>
      </c>
      <c r="G7" t="s">
        <v>7</v>
      </c>
      <c r="H7">
        <v>0</v>
      </c>
      <c r="I7">
        <f t="shared" ref="I7:J9" si="0">D7/(C7+D7)</f>
        <v>0.99999601299739926</v>
      </c>
      <c r="J7" s="6">
        <f t="shared" si="0"/>
        <v>0</v>
      </c>
      <c r="K7" s="2">
        <f>(J7*$N$3)/$N$2</f>
        <v>0</v>
      </c>
      <c r="M7" s="3"/>
      <c r="N7" s="4" t="s">
        <v>20</v>
      </c>
      <c r="O7" s="3"/>
      <c r="Q7" s="3"/>
      <c r="R7" s="4" t="s">
        <v>20</v>
      </c>
      <c r="S7" s="3"/>
    </row>
    <row r="8" spans="1:19" ht="15.6" x14ac:dyDescent="0.3">
      <c r="A8" t="s">
        <v>12</v>
      </c>
      <c r="B8">
        <v>16</v>
      </c>
      <c r="C8">
        <v>16</v>
      </c>
      <c r="D8">
        <v>3319217.1796875</v>
      </c>
      <c r="E8">
        <v>0</v>
      </c>
      <c r="F8">
        <v>78.099999999999994</v>
      </c>
      <c r="G8" t="s">
        <v>7</v>
      </c>
      <c r="H8">
        <v>0</v>
      </c>
      <c r="I8">
        <f t="shared" si="0"/>
        <v>0.99999517960952611</v>
      </c>
      <c r="J8" s="6">
        <f t="shared" si="0"/>
        <v>0</v>
      </c>
      <c r="K8" s="2">
        <f>(J8*$N$3)/$N$2</f>
        <v>0</v>
      </c>
      <c r="M8" s="4" t="s">
        <v>21</v>
      </c>
      <c r="N8" s="4" t="s">
        <v>16</v>
      </c>
      <c r="O8" s="3" t="s">
        <v>22</v>
      </c>
      <c r="Q8" s="4" t="s">
        <v>21</v>
      </c>
      <c r="R8" s="4" t="s">
        <v>23</v>
      </c>
      <c r="S8" s="3" t="s">
        <v>22</v>
      </c>
    </row>
    <row r="9" spans="1:19" ht="15.6" x14ac:dyDescent="0.3">
      <c r="A9" t="s">
        <v>12</v>
      </c>
      <c r="B9">
        <v>16</v>
      </c>
      <c r="C9">
        <v>18</v>
      </c>
      <c r="D9">
        <v>3233791.73828125</v>
      </c>
      <c r="E9">
        <v>0</v>
      </c>
      <c r="F9">
        <v>93.08</v>
      </c>
      <c r="G9" t="s">
        <v>7</v>
      </c>
      <c r="H9">
        <v>0</v>
      </c>
      <c r="I9">
        <f t="shared" si="0"/>
        <v>0.99999443380982289</v>
      </c>
      <c r="J9" s="6">
        <f t="shared" si="0"/>
        <v>0</v>
      </c>
      <c r="K9" s="2">
        <f>(J9*$N$3)/$N$2</f>
        <v>0</v>
      </c>
      <c r="M9" s="3">
        <v>0</v>
      </c>
      <c r="N9" s="5">
        <f>AVERAGE(K7:K9)</f>
        <v>0</v>
      </c>
      <c r="O9" s="5">
        <f>STDEV(K7:K9)</f>
        <v>0</v>
      </c>
      <c r="Q9" s="3">
        <v>0</v>
      </c>
      <c r="R9" s="7">
        <f>AVERAGE(J7:J9)</f>
        <v>0</v>
      </c>
      <c r="S9" s="5">
        <f>STDEV(J7:J9)</f>
        <v>0</v>
      </c>
    </row>
    <row r="10" spans="1:19" ht="15.6" x14ac:dyDescent="0.3">
      <c r="A10" t="s">
        <v>12</v>
      </c>
      <c r="B10">
        <v>2001</v>
      </c>
      <c r="C10">
        <v>2</v>
      </c>
      <c r="D10">
        <v>0</v>
      </c>
      <c r="E10">
        <v>0</v>
      </c>
      <c r="F10">
        <v>107.5</v>
      </c>
      <c r="M10" s="3">
        <v>0.5</v>
      </c>
      <c r="N10" s="5">
        <f>AVERAGE(K19:K21)</f>
        <v>6.6556048422473707E-3</v>
      </c>
      <c r="O10" s="5">
        <f>STDEV(K19:K21)</f>
        <v>3.3245518483059522E-3</v>
      </c>
      <c r="Q10" s="3">
        <v>0.5</v>
      </c>
      <c r="R10" s="7">
        <f>AVERAGE(J19:J21)</f>
        <v>1.9381167889858237E-3</v>
      </c>
      <c r="S10" s="5">
        <f>STDEV(J19:J21)</f>
        <v>9.6811182541298732E-4</v>
      </c>
    </row>
    <row r="11" spans="1:19" ht="15.6" x14ac:dyDescent="0.3">
      <c r="A11" t="s">
        <v>12</v>
      </c>
      <c r="B11">
        <v>2001</v>
      </c>
      <c r="C11">
        <v>3</v>
      </c>
      <c r="D11">
        <v>0</v>
      </c>
      <c r="E11">
        <v>0</v>
      </c>
      <c r="F11">
        <v>121.71</v>
      </c>
      <c r="M11" s="3">
        <v>1</v>
      </c>
      <c r="N11" s="5">
        <f>AVERAGE(K31:K33)</f>
        <v>8.6624492225849378E-2</v>
      </c>
      <c r="O11" s="5">
        <f>STDEV(K31:K33)</f>
        <v>1.9198201277038324E-3</v>
      </c>
      <c r="Q11" s="3">
        <v>1</v>
      </c>
      <c r="R11" s="7">
        <f>AVERAGE(J31:J33)</f>
        <v>2.5225112773311895E-2</v>
      </c>
      <c r="S11" s="5">
        <f>STDEV(J31:J33)</f>
        <v>5.5905296506144632E-4</v>
      </c>
    </row>
    <row r="12" spans="1:19" ht="15.6" x14ac:dyDescent="0.3">
      <c r="A12" t="s">
        <v>12</v>
      </c>
      <c r="B12">
        <v>16</v>
      </c>
      <c r="C12">
        <v>20</v>
      </c>
      <c r="D12">
        <v>4420891.7910156297</v>
      </c>
      <c r="E12">
        <v>0</v>
      </c>
      <c r="F12">
        <v>136.58000000000001</v>
      </c>
      <c r="G12" t="s">
        <v>8</v>
      </c>
      <c r="H12">
        <v>0</v>
      </c>
      <c r="I12">
        <f t="shared" ref="I12:J14" si="1">D12/(C12+D12)</f>
        <v>0.99999547604635752</v>
      </c>
      <c r="J12" s="6">
        <f t="shared" si="1"/>
        <v>0</v>
      </c>
      <c r="K12" s="2">
        <f>(J12*$N$3)/$N$2</f>
        <v>0</v>
      </c>
      <c r="M12" s="3">
        <v>1.5</v>
      </c>
      <c r="N12" s="5">
        <f>AVERAGE(K43:K45)</f>
        <v>0.12341102123192231</v>
      </c>
      <c r="O12" s="5">
        <f>STDEV(K43:K45)</f>
        <v>9.637395089354862E-3</v>
      </c>
      <c r="Q12" s="3">
        <v>1.5</v>
      </c>
      <c r="R12" s="7">
        <f>AVERAGE(J43:J45)</f>
        <v>3.5937375770450641E-2</v>
      </c>
      <c r="S12" s="5">
        <f>STDEV(J43:J45)</f>
        <v>2.8064161961966982E-3</v>
      </c>
    </row>
    <row r="13" spans="1:19" ht="15.6" x14ac:dyDescent="0.3">
      <c r="A13" t="s">
        <v>12</v>
      </c>
      <c r="B13">
        <v>16</v>
      </c>
      <c r="C13">
        <v>22</v>
      </c>
      <c r="D13">
        <v>4800788.3798828097</v>
      </c>
      <c r="E13">
        <v>0</v>
      </c>
      <c r="F13">
        <v>151.54</v>
      </c>
      <c r="G13" t="s">
        <v>8</v>
      </c>
      <c r="H13">
        <v>0</v>
      </c>
      <c r="I13">
        <f t="shared" si="1"/>
        <v>0.99999541744033627</v>
      </c>
      <c r="J13" s="6">
        <f t="shared" si="1"/>
        <v>0</v>
      </c>
      <c r="K13" s="2">
        <f>(J13*$N$3)/$N$2</f>
        <v>0</v>
      </c>
      <c r="M13" s="3">
        <v>3</v>
      </c>
      <c r="N13" s="5">
        <f>AVERAGE(K55:K57)</f>
        <v>0.24203714321519432</v>
      </c>
      <c r="O13" s="5">
        <f>STDEV(K55:K57)</f>
        <v>2.3497310646860614E-2</v>
      </c>
      <c r="Q13" s="3">
        <v>3</v>
      </c>
      <c r="R13" s="7">
        <f>AVERAGE(J55:J57)</f>
        <v>7.048138553026484E-2</v>
      </c>
      <c r="S13" s="5">
        <f>STDEV(J55:J57)</f>
        <v>6.8424333084832669E-3</v>
      </c>
    </row>
    <row r="14" spans="1:19" ht="15.6" x14ac:dyDescent="0.3">
      <c r="A14" t="s">
        <v>12</v>
      </c>
      <c r="B14">
        <v>16</v>
      </c>
      <c r="C14">
        <v>24</v>
      </c>
      <c r="D14">
        <v>4121004.3515625</v>
      </c>
      <c r="E14">
        <v>0</v>
      </c>
      <c r="F14">
        <v>166.37</v>
      </c>
      <c r="G14" t="s">
        <v>8</v>
      </c>
      <c r="H14">
        <v>0</v>
      </c>
      <c r="I14">
        <f t="shared" si="1"/>
        <v>0.9999941762108987</v>
      </c>
      <c r="J14" s="6">
        <f t="shared" si="1"/>
        <v>0</v>
      </c>
      <c r="K14" s="2">
        <f>(J14*$N$3)/$N$2</f>
        <v>0</v>
      </c>
      <c r="M14" s="3">
        <v>5</v>
      </c>
      <c r="N14" s="5">
        <f>AVERAGE(K67:K69)</f>
        <v>0.37279101131505565</v>
      </c>
      <c r="O14" s="5">
        <f>STDEV(K67:K69)</f>
        <v>2.9758391243923685E-2</v>
      </c>
      <c r="Q14" s="3">
        <v>5</v>
      </c>
      <c r="R14" s="7">
        <f>AVERAGE(J67:J69)</f>
        <v>0.10855700344865214</v>
      </c>
      <c r="S14" s="5">
        <f>STDEV(J67:J69)</f>
        <v>8.6656643611044554E-3</v>
      </c>
    </row>
    <row r="15" spans="1:19" ht="15.6" x14ac:dyDescent="0.3">
      <c r="A15" t="s">
        <v>12</v>
      </c>
      <c r="B15">
        <v>2001</v>
      </c>
      <c r="C15">
        <v>2</v>
      </c>
      <c r="D15">
        <v>0</v>
      </c>
      <c r="E15">
        <v>0</v>
      </c>
      <c r="F15">
        <v>180.8</v>
      </c>
      <c r="M15" s="3">
        <v>10</v>
      </c>
      <c r="N15" s="5">
        <f>AVERAGE(K79:K81)</f>
        <v>0.59303136735290785</v>
      </c>
      <c r="O15" s="5">
        <f>STDEV(K79:K81)</f>
        <v>4.1750010074188146E-2</v>
      </c>
      <c r="Q15" s="3">
        <v>10</v>
      </c>
      <c r="R15" s="7">
        <f>AVERAGE(J79:J81)</f>
        <v>0.17269114929512394</v>
      </c>
      <c r="S15" s="5">
        <f>STDEV(J79:J81)</f>
        <v>1.2157632158610649E-2</v>
      </c>
    </row>
    <row r="16" spans="1:19" ht="15.6" x14ac:dyDescent="0.3">
      <c r="A16" t="s">
        <v>12</v>
      </c>
      <c r="B16">
        <v>2001</v>
      </c>
      <c r="C16">
        <v>3</v>
      </c>
      <c r="D16">
        <v>0</v>
      </c>
      <c r="E16">
        <v>0</v>
      </c>
      <c r="F16">
        <v>194.98</v>
      </c>
      <c r="M16" s="3">
        <v>20</v>
      </c>
      <c r="N16" s="5">
        <f>AVERAGE(K91:K93)</f>
        <v>1.075879483537225</v>
      </c>
      <c r="O16" s="5">
        <f>STDEV(K91:K93)</f>
        <v>6.6507885768155944E-2</v>
      </c>
      <c r="Q16" s="3">
        <v>20</v>
      </c>
      <c r="R16" s="7">
        <f>AVERAGE(J91:J93)</f>
        <v>0.3132968587216784</v>
      </c>
      <c r="S16" s="5">
        <f>STDEV(J91:J93)</f>
        <v>1.9367142891207018E-2</v>
      </c>
    </row>
    <row r="17" spans="1:19" ht="15.6" x14ac:dyDescent="0.3">
      <c r="A17" t="s">
        <v>12</v>
      </c>
      <c r="B17">
        <v>2001</v>
      </c>
      <c r="C17">
        <v>2</v>
      </c>
      <c r="D17">
        <v>0</v>
      </c>
      <c r="E17">
        <v>0</v>
      </c>
      <c r="F17">
        <v>209.44</v>
      </c>
      <c r="M17" s="3">
        <v>40</v>
      </c>
      <c r="N17" s="5">
        <f>AVERAGE(K103:K105)</f>
        <v>1.7584770243367218</v>
      </c>
      <c r="O17" s="5">
        <f>STDEV(K105:K107)</f>
        <v>9.6586709565055856E-2</v>
      </c>
      <c r="Q17" s="3">
        <v>40</v>
      </c>
      <c r="R17" s="7">
        <f>AVERAGE(J103:J105)</f>
        <v>0.51206974042077047</v>
      </c>
      <c r="S17" s="5">
        <f>STDEV(J105:J107)</f>
        <v>2.8126117436040942E-2</v>
      </c>
    </row>
    <row r="18" spans="1:19" ht="15.6" x14ac:dyDescent="0.3">
      <c r="A18" t="s">
        <v>12</v>
      </c>
      <c r="B18">
        <v>2001</v>
      </c>
      <c r="C18">
        <v>3</v>
      </c>
      <c r="D18">
        <v>0</v>
      </c>
      <c r="E18">
        <v>0</v>
      </c>
      <c r="F18">
        <v>223.62</v>
      </c>
      <c r="M18" s="3">
        <v>60</v>
      </c>
      <c r="N18" s="5">
        <f>AVERAGE(K119:K121)</f>
        <v>2.4676293436266961</v>
      </c>
      <c r="O18" s="5">
        <f>STDEV(K119:K121)</f>
        <v>0.12165771903041152</v>
      </c>
      <c r="Q18" s="3">
        <v>60</v>
      </c>
      <c r="R18" s="7">
        <f>AVERAGE(J119:J121)</f>
        <v>0.7185753922046344</v>
      </c>
      <c r="S18" s="5">
        <f>STDEV(J119:J121)</f>
        <v>3.5426812942059197E-2</v>
      </c>
    </row>
    <row r="19" spans="1:19" ht="15.6" x14ac:dyDescent="0.3">
      <c r="A19" t="s">
        <v>12</v>
      </c>
      <c r="B19">
        <v>15</v>
      </c>
      <c r="C19">
        <v>14</v>
      </c>
      <c r="D19">
        <v>14093004.6210938</v>
      </c>
      <c r="E19">
        <v>11946.746582031299</v>
      </c>
      <c r="F19">
        <v>238.47</v>
      </c>
      <c r="G19" t="s">
        <v>7</v>
      </c>
      <c r="H19">
        <v>0.5</v>
      </c>
      <c r="I19">
        <f t="shared" ref="I19:J21" si="2">D19/(C19+D19)</f>
        <v>0.99999900660033336</v>
      </c>
      <c r="J19" s="6">
        <f t="shared" si="2"/>
        <v>8.4698956207743703E-4</v>
      </c>
      <c r="K19" s="2">
        <f>(J19*$N$3)/$N$2</f>
        <v>2.9086110097861612E-3</v>
      </c>
      <c r="M19" s="3">
        <v>300</v>
      </c>
      <c r="N19" s="5">
        <f>AVERAGE(K133:K135)</f>
        <v>3.3708197217935907</v>
      </c>
      <c r="O19" s="5">
        <f>STDEV(K133:K135)</f>
        <v>9.0236324040293518E-3</v>
      </c>
      <c r="Q19" s="3">
        <v>300</v>
      </c>
      <c r="R19" s="7">
        <f>AVERAGE(J133:J134)</f>
        <v>0.98307924314241868</v>
      </c>
      <c r="S19" s="5">
        <f>STDEV(J133:J135)</f>
        <v>2.6276880725960693E-3</v>
      </c>
    </row>
    <row r="20" spans="1:19" x14ac:dyDescent="0.3">
      <c r="A20" t="s">
        <v>12</v>
      </c>
      <c r="B20">
        <v>15</v>
      </c>
      <c r="C20">
        <v>16</v>
      </c>
      <c r="D20">
        <v>16517607.9492188</v>
      </c>
      <c r="E20">
        <v>44622.079589843801</v>
      </c>
      <c r="F20">
        <v>253.42</v>
      </c>
      <c r="G20" t="s">
        <v>7</v>
      </c>
      <c r="H20">
        <v>0.5</v>
      </c>
      <c r="I20">
        <f t="shared" si="2"/>
        <v>0.99999903133767609</v>
      </c>
      <c r="J20" s="6">
        <f t="shared" si="2"/>
        <v>2.6942072119652575E-3</v>
      </c>
      <c r="K20" s="2">
        <f>(J20*$N$3)/$N$2</f>
        <v>9.2520629653886736E-3</v>
      </c>
    </row>
    <row r="21" spans="1:19" x14ac:dyDescent="0.3">
      <c r="A21" t="s">
        <v>12</v>
      </c>
      <c r="B21">
        <v>15</v>
      </c>
      <c r="C21">
        <v>18</v>
      </c>
      <c r="D21">
        <v>16375964.025390601</v>
      </c>
      <c r="E21">
        <v>37309.892578125</v>
      </c>
      <c r="F21">
        <v>268.33999999999997</v>
      </c>
      <c r="G21" t="s">
        <v>7</v>
      </c>
      <c r="H21">
        <v>0.5</v>
      </c>
      <c r="I21">
        <f t="shared" si="2"/>
        <v>0.99999890082927712</v>
      </c>
      <c r="J21" s="6">
        <f t="shared" si="2"/>
        <v>2.2731535929147767E-3</v>
      </c>
      <c r="K21" s="2">
        <f>(J21*$N$3)/$N$2</f>
        <v>7.806140551567275E-3</v>
      </c>
    </row>
    <row r="22" spans="1:19" x14ac:dyDescent="0.3">
      <c r="A22" t="s">
        <v>12</v>
      </c>
      <c r="B22">
        <v>2001</v>
      </c>
      <c r="C22">
        <v>2</v>
      </c>
      <c r="D22">
        <v>51982.952636718801</v>
      </c>
      <c r="E22">
        <v>0</v>
      </c>
      <c r="F22">
        <v>282.77999999999997</v>
      </c>
    </row>
    <row r="23" spans="1:19" x14ac:dyDescent="0.3">
      <c r="A23" t="s">
        <v>12</v>
      </c>
      <c r="B23">
        <v>2001</v>
      </c>
      <c r="C23">
        <v>3</v>
      </c>
      <c r="D23">
        <v>0</v>
      </c>
      <c r="E23">
        <v>0</v>
      </c>
      <c r="F23">
        <v>296.95999999999998</v>
      </c>
    </row>
    <row r="24" spans="1:19" x14ac:dyDescent="0.3">
      <c r="A24" t="s">
        <v>12</v>
      </c>
      <c r="B24">
        <v>15</v>
      </c>
      <c r="C24">
        <v>20</v>
      </c>
      <c r="D24">
        <v>20109088.275390599</v>
      </c>
      <c r="E24">
        <v>0</v>
      </c>
      <c r="F24">
        <v>311.8</v>
      </c>
      <c r="G24" t="s">
        <v>8</v>
      </c>
      <c r="H24">
        <v>0.5</v>
      </c>
      <c r="I24">
        <f t="shared" ref="I24:J26" si="3">D24/(C24+D24)</f>
        <v>0.99999900542581366</v>
      </c>
      <c r="J24" s="6">
        <f t="shared" si="3"/>
        <v>0</v>
      </c>
      <c r="K24" s="2">
        <f>(J24*$N$3)/$N$2</f>
        <v>0</v>
      </c>
    </row>
    <row r="25" spans="1:19" x14ac:dyDescent="0.3">
      <c r="A25" t="s">
        <v>12</v>
      </c>
      <c r="B25">
        <v>15</v>
      </c>
      <c r="C25">
        <v>22</v>
      </c>
      <c r="D25">
        <v>18285051.418457001</v>
      </c>
      <c r="E25">
        <v>0</v>
      </c>
      <c r="F25">
        <v>326.73</v>
      </c>
      <c r="G25" t="s">
        <v>8</v>
      </c>
      <c r="H25">
        <v>0.5</v>
      </c>
      <c r="I25">
        <f t="shared" si="3"/>
        <v>0.9999987968328321</v>
      </c>
      <c r="J25" s="6">
        <f t="shared" si="3"/>
        <v>0</v>
      </c>
      <c r="K25" s="2">
        <f>(J25*$N$3)/$N$2</f>
        <v>0</v>
      </c>
    </row>
    <row r="26" spans="1:19" x14ac:dyDescent="0.3">
      <c r="A26" t="s">
        <v>12</v>
      </c>
      <c r="B26">
        <v>15</v>
      </c>
      <c r="C26">
        <v>24</v>
      </c>
      <c r="D26">
        <v>19830796.5942383</v>
      </c>
      <c r="E26">
        <v>0</v>
      </c>
      <c r="F26">
        <v>341.67</v>
      </c>
      <c r="G26" t="s">
        <v>8</v>
      </c>
      <c r="H26">
        <v>0.5</v>
      </c>
      <c r="I26">
        <f t="shared" si="3"/>
        <v>0.99999878976263812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12</v>
      </c>
      <c r="B27">
        <v>2001</v>
      </c>
      <c r="C27">
        <v>2</v>
      </c>
      <c r="D27">
        <v>73736.578125</v>
      </c>
      <c r="E27">
        <v>0</v>
      </c>
      <c r="F27">
        <v>356.1</v>
      </c>
    </row>
    <row r="28" spans="1:19" x14ac:dyDescent="0.3">
      <c r="A28" t="s">
        <v>12</v>
      </c>
      <c r="B28">
        <v>2001</v>
      </c>
      <c r="C28">
        <v>3</v>
      </c>
      <c r="D28">
        <v>0</v>
      </c>
      <c r="E28">
        <v>0</v>
      </c>
      <c r="F28">
        <v>370.29</v>
      </c>
    </row>
    <row r="29" spans="1:19" x14ac:dyDescent="0.3">
      <c r="A29" t="s">
        <v>12</v>
      </c>
      <c r="B29">
        <v>2001</v>
      </c>
      <c r="C29">
        <v>2</v>
      </c>
      <c r="D29">
        <v>0</v>
      </c>
      <c r="E29">
        <v>0</v>
      </c>
      <c r="F29">
        <v>384.58</v>
      </c>
    </row>
    <row r="30" spans="1:19" x14ac:dyDescent="0.3">
      <c r="A30" t="s">
        <v>12</v>
      </c>
      <c r="B30">
        <v>2001</v>
      </c>
      <c r="C30">
        <v>3</v>
      </c>
      <c r="D30">
        <v>0</v>
      </c>
      <c r="E30">
        <v>0</v>
      </c>
      <c r="F30">
        <v>398.88</v>
      </c>
    </row>
    <row r="31" spans="1:19" x14ac:dyDescent="0.3">
      <c r="A31" t="s">
        <v>12</v>
      </c>
      <c r="B31">
        <v>14</v>
      </c>
      <c r="C31">
        <v>14</v>
      </c>
      <c r="D31">
        <v>5218565.2871093797</v>
      </c>
      <c r="E31">
        <v>132110.96484375</v>
      </c>
      <c r="F31">
        <v>413.77</v>
      </c>
      <c r="G31" t="s">
        <v>7</v>
      </c>
      <c r="H31">
        <v>1</v>
      </c>
      <c r="I31">
        <f t="shared" ref="I31:J33" si="4">D31/(C31+D31)</f>
        <v>0.99999731727751373</v>
      </c>
      <c r="J31" s="6">
        <f t="shared" si="4"/>
        <v>2.4690517351993818E-2</v>
      </c>
      <c r="K31" s="2">
        <f>(J31*$N$3)/$N$2</f>
        <v>8.4788660714049849E-2</v>
      </c>
    </row>
    <row r="32" spans="1:19" x14ac:dyDescent="0.3">
      <c r="A32" t="s">
        <v>12</v>
      </c>
      <c r="B32">
        <v>14</v>
      </c>
      <c r="C32">
        <v>16</v>
      </c>
      <c r="D32">
        <v>9122386.8564453106</v>
      </c>
      <c r="E32">
        <v>235625.8515625</v>
      </c>
      <c r="F32">
        <v>428.61</v>
      </c>
      <c r="G32" t="s">
        <v>7</v>
      </c>
      <c r="H32">
        <v>1</v>
      </c>
      <c r="I32">
        <f t="shared" si="4"/>
        <v>0.99999824607614329</v>
      </c>
      <c r="J32" s="6">
        <f t="shared" si="4"/>
        <v>2.5179048043060568E-2</v>
      </c>
      <c r="K32" s="2">
        <f>(J32*$N$3)/$N$2</f>
        <v>8.6466303285193225E-2</v>
      </c>
    </row>
    <row r="33" spans="1:11" x14ac:dyDescent="0.3">
      <c r="A33" t="s">
        <v>12</v>
      </c>
      <c r="B33">
        <v>14</v>
      </c>
      <c r="C33">
        <v>18</v>
      </c>
      <c r="D33">
        <v>8917996.8315429706</v>
      </c>
      <c r="E33">
        <v>236231.94921875</v>
      </c>
      <c r="F33">
        <v>443.45</v>
      </c>
      <c r="G33" t="s">
        <v>7</v>
      </c>
      <c r="H33">
        <v>1</v>
      </c>
      <c r="I33">
        <f t="shared" si="4"/>
        <v>0.99999798161358333</v>
      </c>
      <c r="J33" s="6">
        <f t="shared" si="4"/>
        <v>2.5805772924881305E-2</v>
      </c>
      <c r="K33" s="2">
        <f>(J33*$N$3)/$N$2</f>
        <v>8.8618512678305034E-2</v>
      </c>
    </row>
    <row r="34" spans="1:11" x14ac:dyDescent="0.3">
      <c r="A34" t="s">
        <v>12</v>
      </c>
      <c r="B34">
        <v>2001</v>
      </c>
      <c r="C34">
        <v>2</v>
      </c>
      <c r="D34">
        <v>0</v>
      </c>
      <c r="E34">
        <v>0</v>
      </c>
      <c r="F34">
        <v>457.99</v>
      </c>
    </row>
    <row r="35" spans="1:11" x14ac:dyDescent="0.3">
      <c r="A35" t="s">
        <v>12</v>
      </c>
      <c r="B35">
        <v>2001</v>
      </c>
      <c r="C35">
        <v>3</v>
      </c>
      <c r="D35">
        <v>0</v>
      </c>
      <c r="E35">
        <v>0</v>
      </c>
      <c r="F35">
        <v>472.13</v>
      </c>
    </row>
    <row r="36" spans="1:11" x14ac:dyDescent="0.3">
      <c r="A36" t="s">
        <v>12</v>
      </c>
      <c r="B36">
        <v>14</v>
      </c>
      <c r="C36">
        <v>20</v>
      </c>
      <c r="D36">
        <v>14584146.075683599</v>
      </c>
      <c r="E36">
        <v>0</v>
      </c>
      <c r="F36">
        <v>487.11</v>
      </c>
      <c r="G36" t="s">
        <v>8</v>
      </c>
      <c r="H36">
        <v>1</v>
      </c>
      <c r="I36">
        <f t="shared" ref="I36:J38" si="5">D36/(C36+D36)</f>
        <v>0.99999862864973588</v>
      </c>
      <c r="J36" s="6">
        <f t="shared" si="5"/>
        <v>0</v>
      </c>
      <c r="K36" s="2">
        <f>(J36*$N$3)/$N$2</f>
        <v>0</v>
      </c>
    </row>
    <row r="37" spans="1:11" x14ac:dyDescent="0.3">
      <c r="A37" t="s">
        <v>12</v>
      </c>
      <c r="B37">
        <v>14</v>
      </c>
      <c r="C37">
        <v>22</v>
      </c>
      <c r="D37">
        <v>14414001.1328125</v>
      </c>
      <c r="E37">
        <v>0</v>
      </c>
      <c r="F37">
        <v>501.95</v>
      </c>
      <c r="G37" t="s">
        <v>8</v>
      </c>
      <c r="H37">
        <v>1</v>
      </c>
      <c r="I37">
        <f t="shared" si="5"/>
        <v>0.99999847370856854</v>
      </c>
      <c r="J37" s="6">
        <f t="shared" si="5"/>
        <v>0</v>
      </c>
      <c r="K37" s="2">
        <f>(J37*$N$3)/$N$2</f>
        <v>0</v>
      </c>
    </row>
    <row r="38" spans="1:11" x14ac:dyDescent="0.3">
      <c r="A38" t="s">
        <v>12</v>
      </c>
      <c r="B38">
        <v>14</v>
      </c>
      <c r="C38">
        <v>24</v>
      </c>
      <c r="D38">
        <v>13597060.666015601</v>
      </c>
      <c r="E38">
        <v>0</v>
      </c>
      <c r="F38">
        <v>516.85</v>
      </c>
      <c r="G38" t="s">
        <v>8</v>
      </c>
      <c r="H38">
        <v>1</v>
      </c>
      <c r="I38">
        <f t="shared" si="5"/>
        <v>0.99999823491574924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12</v>
      </c>
      <c r="B39">
        <v>2001</v>
      </c>
      <c r="C39">
        <v>2</v>
      </c>
      <c r="D39">
        <v>0</v>
      </c>
      <c r="E39">
        <v>0</v>
      </c>
      <c r="F39">
        <v>531.30999999999995</v>
      </c>
    </row>
    <row r="40" spans="1:11" x14ac:dyDescent="0.3">
      <c r="A40" t="s">
        <v>12</v>
      </c>
      <c r="B40">
        <v>2001</v>
      </c>
      <c r="C40">
        <v>3</v>
      </c>
      <c r="D40">
        <v>0</v>
      </c>
      <c r="E40">
        <v>0</v>
      </c>
      <c r="F40">
        <v>545.51</v>
      </c>
    </row>
    <row r="41" spans="1:11" x14ac:dyDescent="0.3">
      <c r="A41" t="s">
        <v>12</v>
      </c>
      <c r="B41">
        <v>2001</v>
      </c>
      <c r="C41">
        <v>2</v>
      </c>
      <c r="D41">
        <v>0</v>
      </c>
      <c r="E41">
        <v>0</v>
      </c>
      <c r="F41">
        <v>559.82000000000005</v>
      </c>
    </row>
    <row r="42" spans="1:11" x14ac:dyDescent="0.3">
      <c r="A42" t="s">
        <v>12</v>
      </c>
      <c r="B42">
        <v>2001</v>
      </c>
      <c r="C42">
        <v>3</v>
      </c>
      <c r="D42">
        <v>0</v>
      </c>
      <c r="E42">
        <v>0</v>
      </c>
      <c r="F42">
        <v>574</v>
      </c>
    </row>
    <row r="43" spans="1:11" x14ac:dyDescent="0.3">
      <c r="A43" t="s">
        <v>12</v>
      </c>
      <c r="B43">
        <v>13</v>
      </c>
      <c r="C43">
        <v>14</v>
      </c>
      <c r="D43">
        <v>4587526.20947266</v>
      </c>
      <c r="E43">
        <v>160216.880859375</v>
      </c>
      <c r="F43">
        <v>588.87</v>
      </c>
      <c r="G43" t="s">
        <v>7</v>
      </c>
      <c r="H43">
        <v>1.5</v>
      </c>
      <c r="I43">
        <f t="shared" ref="I43:J45" si="6">D43/(C43+D43)</f>
        <v>0.99999694825563135</v>
      </c>
      <c r="J43" s="6">
        <f t="shared" si="6"/>
        <v>3.3745903645382415E-2</v>
      </c>
      <c r="K43" s="2">
        <f>(J43*$N$3)/$N$2</f>
        <v>0.11588537955225524</v>
      </c>
    </row>
    <row r="44" spans="1:11" x14ac:dyDescent="0.3">
      <c r="A44" t="s">
        <v>12</v>
      </c>
      <c r="B44">
        <v>13</v>
      </c>
      <c r="C44">
        <v>16</v>
      </c>
      <c r="D44">
        <v>7975049.0268554697</v>
      </c>
      <c r="E44">
        <v>324517.11669921898</v>
      </c>
      <c r="F44">
        <v>603.84</v>
      </c>
      <c r="G44" t="s">
        <v>7</v>
      </c>
      <c r="H44">
        <v>1.5</v>
      </c>
      <c r="I44">
        <f t="shared" si="6"/>
        <v>0.99999799374676623</v>
      </c>
      <c r="J44" s="6">
        <f t="shared" si="6"/>
        <v>3.9100491650546555E-2</v>
      </c>
      <c r="K44" s="2">
        <f>(J44*$N$3)/$N$2</f>
        <v>0.13427334360991081</v>
      </c>
    </row>
    <row r="45" spans="1:11" x14ac:dyDescent="0.3">
      <c r="A45" t="s">
        <v>12</v>
      </c>
      <c r="B45">
        <v>13</v>
      </c>
      <c r="C45">
        <v>18</v>
      </c>
      <c r="D45">
        <v>9479594.4990234394</v>
      </c>
      <c r="E45">
        <v>343470.6640625</v>
      </c>
      <c r="F45">
        <v>618.70000000000005</v>
      </c>
      <c r="G45" t="s">
        <v>7</v>
      </c>
      <c r="H45">
        <v>1.5</v>
      </c>
      <c r="I45">
        <f t="shared" si="6"/>
        <v>0.99999810118820764</v>
      </c>
      <c r="J45" s="6">
        <f t="shared" si="6"/>
        <v>3.4965732015422961E-2</v>
      </c>
      <c r="K45" s="2">
        <f>(J45*$N$3)/$N$2</f>
        <v>0.12007434053360092</v>
      </c>
    </row>
    <row r="46" spans="1:11" x14ac:dyDescent="0.3">
      <c r="A46" t="s">
        <v>12</v>
      </c>
      <c r="B46">
        <v>2001</v>
      </c>
      <c r="C46">
        <v>2</v>
      </c>
      <c r="D46">
        <v>0</v>
      </c>
      <c r="E46">
        <v>0</v>
      </c>
      <c r="F46">
        <v>633.12</v>
      </c>
    </row>
    <row r="47" spans="1:11" x14ac:dyDescent="0.3">
      <c r="A47" t="s">
        <v>12</v>
      </c>
      <c r="B47">
        <v>2001</v>
      </c>
      <c r="C47">
        <v>3</v>
      </c>
      <c r="D47">
        <v>0</v>
      </c>
      <c r="E47">
        <v>0</v>
      </c>
      <c r="F47">
        <v>647.32000000000005</v>
      </c>
    </row>
    <row r="48" spans="1:11" x14ac:dyDescent="0.3">
      <c r="A48" t="s">
        <v>12</v>
      </c>
      <c r="B48">
        <v>13</v>
      </c>
      <c r="C48">
        <v>20</v>
      </c>
      <c r="D48">
        <v>13328277.4140625</v>
      </c>
      <c r="E48">
        <v>0</v>
      </c>
      <c r="F48">
        <v>662.27</v>
      </c>
      <c r="G48" t="s">
        <v>8</v>
      </c>
      <c r="H48">
        <v>1.5</v>
      </c>
      <c r="I48">
        <f t="shared" ref="I48:J50" si="7">D48/(C48+D48)</f>
        <v>0.99999849943324504</v>
      </c>
      <c r="J48" s="6">
        <f t="shared" si="7"/>
        <v>0</v>
      </c>
      <c r="K48" s="2">
        <f>(J48*$N$3)/$N$2</f>
        <v>0</v>
      </c>
    </row>
    <row r="49" spans="1:11" x14ac:dyDescent="0.3">
      <c r="A49" t="s">
        <v>12</v>
      </c>
      <c r="B49">
        <v>13</v>
      </c>
      <c r="C49">
        <v>22</v>
      </c>
      <c r="D49">
        <v>12038869.2734375</v>
      </c>
      <c r="E49">
        <v>0</v>
      </c>
      <c r="F49">
        <v>677.17</v>
      </c>
      <c r="G49" t="s">
        <v>8</v>
      </c>
      <c r="H49">
        <v>1.5</v>
      </c>
      <c r="I49">
        <f t="shared" si="7"/>
        <v>0.99999817258919443</v>
      </c>
      <c r="J49" s="6">
        <f t="shared" si="7"/>
        <v>0</v>
      </c>
      <c r="K49" s="2">
        <f>(J49*$N$3)/$N$2</f>
        <v>0</v>
      </c>
    </row>
    <row r="50" spans="1:11" x14ac:dyDescent="0.3">
      <c r="A50" t="s">
        <v>12</v>
      </c>
      <c r="B50">
        <v>13</v>
      </c>
      <c r="C50">
        <v>24</v>
      </c>
      <c r="D50">
        <v>12879576.229492201</v>
      </c>
      <c r="E50">
        <v>0</v>
      </c>
      <c r="F50">
        <v>692.1</v>
      </c>
      <c r="G50" t="s">
        <v>8</v>
      </c>
      <c r="H50">
        <v>1.5</v>
      </c>
      <c r="I50">
        <f t="shared" si="7"/>
        <v>0.99999813658812597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12</v>
      </c>
      <c r="B51">
        <v>2001</v>
      </c>
      <c r="C51">
        <v>2</v>
      </c>
      <c r="D51">
        <v>0</v>
      </c>
      <c r="E51">
        <v>0</v>
      </c>
      <c r="F51">
        <v>706.43</v>
      </c>
    </row>
    <row r="52" spans="1:11" x14ac:dyDescent="0.3">
      <c r="A52" t="s">
        <v>12</v>
      </c>
      <c r="B52">
        <v>2001</v>
      </c>
      <c r="C52">
        <v>3</v>
      </c>
      <c r="D52">
        <v>0</v>
      </c>
      <c r="E52">
        <v>0</v>
      </c>
      <c r="F52">
        <v>720.5</v>
      </c>
    </row>
    <row r="53" spans="1:11" x14ac:dyDescent="0.3">
      <c r="A53" t="s">
        <v>12</v>
      </c>
      <c r="B53">
        <v>2001</v>
      </c>
      <c r="C53">
        <v>2</v>
      </c>
      <c r="D53">
        <v>0</v>
      </c>
      <c r="E53">
        <v>0</v>
      </c>
      <c r="F53">
        <v>734.96</v>
      </c>
    </row>
    <row r="54" spans="1:11" x14ac:dyDescent="0.3">
      <c r="A54" t="s">
        <v>12</v>
      </c>
      <c r="B54">
        <v>2001</v>
      </c>
      <c r="C54">
        <v>3</v>
      </c>
      <c r="D54">
        <v>0</v>
      </c>
      <c r="E54">
        <v>0</v>
      </c>
      <c r="F54">
        <v>749.19</v>
      </c>
    </row>
    <row r="55" spans="1:11" x14ac:dyDescent="0.3">
      <c r="A55" t="s">
        <v>12</v>
      </c>
      <c r="B55">
        <v>12</v>
      </c>
      <c r="C55">
        <v>14</v>
      </c>
      <c r="D55">
        <v>7001631.9785156297</v>
      </c>
      <c r="E55">
        <v>474133.314453125</v>
      </c>
      <c r="F55">
        <v>764.04</v>
      </c>
      <c r="G55" t="s">
        <v>7</v>
      </c>
      <c r="H55">
        <v>3</v>
      </c>
      <c r="I55">
        <f t="shared" ref="I55:J57" si="8">D55/(C55+D55)</f>
        <v>0.99999800047016907</v>
      </c>
      <c r="J55" s="6">
        <f t="shared" si="8"/>
        <v>6.3422712708632742E-2</v>
      </c>
      <c r="K55" s="2">
        <f>(J55*$N$3)/$N$2</f>
        <v>0.21779725360767588</v>
      </c>
    </row>
    <row r="56" spans="1:11" x14ac:dyDescent="0.3">
      <c r="A56" t="s">
        <v>12</v>
      </c>
      <c r="B56">
        <v>12</v>
      </c>
      <c r="C56">
        <v>16</v>
      </c>
      <c r="D56">
        <v>6904775.703125</v>
      </c>
      <c r="E56">
        <v>576709.115234375</v>
      </c>
      <c r="F56">
        <v>778.99</v>
      </c>
      <c r="G56" t="s">
        <v>7</v>
      </c>
      <c r="H56">
        <v>3</v>
      </c>
      <c r="I56">
        <f t="shared" si="8"/>
        <v>0.999997682768621</v>
      </c>
      <c r="J56" s="6">
        <f t="shared" si="8"/>
        <v>7.7084847357993078E-2</v>
      </c>
      <c r="K56" s="2">
        <f>(J56*$N$3)/$N$2</f>
        <v>0.26471381201347755</v>
      </c>
    </row>
    <row r="57" spans="1:11" x14ac:dyDescent="0.3">
      <c r="A57" t="s">
        <v>12</v>
      </c>
      <c r="B57">
        <v>12</v>
      </c>
      <c r="C57">
        <v>18</v>
      </c>
      <c r="D57">
        <v>7390986.0800781297</v>
      </c>
      <c r="E57">
        <v>564322.51611328102</v>
      </c>
      <c r="F57">
        <v>793.94</v>
      </c>
      <c r="G57" t="s">
        <v>7</v>
      </c>
      <c r="H57">
        <v>3</v>
      </c>
      <c r="I57">
        <f t="shared" si="8"/>
        <v>0.99999756460694578</v>
      </c>
      <c r="J57" s="6">
        <f t="shared" si="8"/>
        <v>7.0936596524168699E-2</v>
      </c>
      <c r="K57" s="2">
        <f>(J57*$N$3)/$N$2</f>
        <v>0.24360036402442953</v>
      </c>
    </row>
    <row r="58" spans="1:11" x14ac:dyDescent="0.3">
      <c r="A58" t="s">
        <v>12</v>
      </c>
      <c r="B58">
        <v>2001</v>
      </c>
      <c r="C58">
        <v>2</v>
      </c>
      <c r="D58">
        <v>0</v>
      </c>
      <c r="E58">
        <v>0</v>
      </c>
      <c r="F58">
        <v>808.24</v>
      </c>
    </row>
    <row r="59" spans="1:11" x14ac:dyDescent="0.3">
      <c r="A59" t="s">
        <v>12</v>
      </c>
      <c r="B59">
        <v>2001</v>
      </c>
      <c r="C59">
        <v>3</v>
      </c>
      <c r="D59">
        <v>0</v>
      </c>
      <c r="E59">
        <v>0</v>
      </c>
      <c r="F59">
        <v>822.53</v>
      </c>
    </row>
    <row r="60" spans="1:11" x14ac:dyDescent="0.3">
      <c r="A60" t="s">
        <v>12</v>
      </c>
      <c r="B60">
        <v>12</v>
      </c>
      <c r="C60">
        <v>20</v>
      </c>
      <c r="D60">
        <v>14172952.2490234</v>
      </c>
      <c r="E60">
        <v>0</v>
      </c>
      <c r="F60">
        <v>837.35</v>
      </c>
      <c r="G60" t="s">
        <v>8</v>
      </c>
      <c r="H60">
        <v>3</v>
      </c>
      <c r="I60">
        <f t="shared" ref="I60:J62" si="9">D60/(C60+D60)</f>
        <v>0.99999858886339088</v>
      </c>
      <c r="J60" s="6">
        <f t="shared" si="9"/>
        <v>0</v>
      </c>
      <c r="K60" s="2">
        <f>(J60*$N$3)/$N$2</f>
        <v>0</v>
      </c>
    </row>
    <row r="61" spans="1:11" x14ac:dyDescent="0.3">
      <c r="A61" t="s">
        <v>12</v>
      </c>
      <c r="B61">
        <v>12</v>
      </c>
      <c r="C61">
        <v>22</v>
      </c>
      <c r="D61">
        <v>13605940.2226563</v>
      </c>
      <c r="E61">
        <v>0</v>
      </c>
      <c r="F61">
        <v>852.32</v>
      </c>
      <c r="G61" t="s">
        <v>8</v>
      </c>
      <c r="H61">
        <v>3</v>
      </c>
      <c r="I61">
        <f t="shared" si="9"/>
        <v>0.99999838306180477</v>
      </c>
      <c r="J61" s="6">
        <f t="shared" si="9"/>
        <v>0</v>
      </c>
      <c r="K61" s="2">
        <f>(J61*$N$3)/$N$2</f>
        <v>0</v>
      </c>
    </row>
    <row r="62" spans="1:11" x14ac:dyDescent="0.3">
      <c r="A62" t="s">
        <v>12</v>
      </c>
      <c r="B62">
        <v>12</v>
      </c>
      <c r="C62">
        <v>24</v>
      </c>
      <c r="D62">
        <v>12509648.4760742</v>
      </c>
      <c r="E62">
        <v>0</v>
      </c>
      <c r="F62">
        <v>867.19</v>
      </c>
      <c r="G62" t="s">
        <v>8</v>
      </c>
      <c r="H62">
        <v>3</v>
      </c>
      <c r="I62">
        <f t="shared" si="9"/>
        <v>0.99999808148454361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12</v>
      </c>
      <c r="B63">
        <v>2001</v>
      </c>
      <c r="C63">
        <v>2</v>
      </c>
      <c r="D63">
        <v>0</v>
      </c>
      <c r="E63">
        <v>0</v>
      </c>
      <c r="F63">
        <v>881.67</v>
      </c>
    </row>
    <row r="64" spans="1:11" x14ac:dyDescent="0.3">
      <c r="A64" t="s">
        <v>12</v>
      </c>
      <c r="B64">
        <v>2001</v>
      </c>
      <c r="C64">
        <v>3</v>
      </c>
      <c r="D64">
        <v>0</v>
      </c>
      <c r="E64">
        <v>0</v>
      </c>
      <c r="F64">
        <v>895.76</v>
      </c>
    </row>
    <row r="65" spans="1:11" x14ac:dyDescent="0.3">
      <c r="A65" t="s">
        <v>12</v>
      </c>
      <c r="B65">
        <v>2001</v>
      </c>
      <c r="C65">
        <v>2</v>
      </c>
      <c r="D65">
        <v>0</v>
      </c>
      <c r="E65">
        <v>0</v>
      </c>
      <c r="F65">
        <v>910.2</v>
      </c>
    </row>
    <row r="66" spans="1:11" x14ac:dyDescent="0.3">
      <c r="A66" t="s">
        <v>12</v>
      </c>
      <c r="B66">
        <v>2001</v>
      </c>
      <c r="C66">
        <v>3</v>
      </c>
      <c r="D66">
        <v>0</v>
      </c>
      <c r="E66">
        <v>0</v>
      </c>
      <c r="F66">
        <v>924.35</v>
      </c>
    </row>
    <row r="67" spans="1:11" x14ac:dyDescent="0.3">
      <c r="A67" t="s">
        <v>12</v>
      </c>
      <c r="B67">
        <v>11</v>
      </c>
      <c r="C67">
        <v>14</v>
      </c>
      <c r="D67">
        <v>5229375.6933593797</v>
      </c>
      <c r="E67">
        <v>588954.26611328102</v>
      </c>
      <c r="F67">
        <v>939.29</v>
      </c>
      <c r="G67" t="s">
        <v>7</v>
      </c>
      <c r="H67">
        <v>5</v>
      </c>
      <c r="I67">
        <f t="shared" ref="I67:J69" si="10">D67/(C67+D67)</f>
        <v>0.9999973228233463</v>
      </c>
      <c r="J67" s="6">
        <f t="shared" si="10"/>
        <v>0.10122393714616013</v>
      </c>
      <c r="K67" s="2">
        <f>(J67*$N$3)/$N$2</f>
        <v>0.34760883866748987</v>
      </c>
    </row>
    <row r="68" spans="1:11" x14ac:dyDescent="0.3">
      <c r="A68" t="s">
        <v>12</v>
      </c>
      <c r="B68">
        <v>11</v>
      </c>
      <c r="C68">
        <v>16</v>
      </c>
      <c r="D68">
        <v>7081992.8950195303</v>
      </c>
      <c r="E68">
        <v>948566.28808593797</v>
      </c>
      <c r="F68">
        <v>954.26</v>
      </c>
      <c r="G68" t="s">
        <v>7</v>
      </c>
      <c r="H68">
        <v>5</v>
      </c>
      <c r="I68">
        <f t="shared" si="10"/>
        <v>0.9999977407540378</v>
      </c>
      <c r="J68" s="6">
        <f t="shared" si="10"/>
        <v>0.11811958127168939</v>
      </c>
      <c r="K68" s="2">
        <f>(J68*$N$3)/$N$2</f>
        <v>0.40562945512043541</v>
      </c>
    </row>
    <row r="69" spans="1:11" x14ac:dyDescent="0.3">
      <c r="A69" t="s">
        <v>12</v>
      </c>
      <c r="B69">
        <v>11</v>
      </c>
      <c r="C69">
        <v>18</v>
      </c>
      <c r="D69">
        <v>7623217.5224609403</v>
      </c>
      <c r="E69">
        <v>906996.234375</v>
      </c>
      <c r="F69">
        <v>969.08</v>
      </c>
      <c r="G69" t="s">
        <v>7</v>
      </c>
      <c r="H69">
        <v>5</v>
      </c>
      <c r="I69">
        <f t="shared" si="10"/>
        <v>0.99999763879786385</v>
      </c>
      <c r="J69" s="6">
        <f t="shared" si="10"/>
        <v>0.10632749192810691</v>
      </c>
      <c r="K69" s="2">
        <f>(J69*$N$3)/$N$2</f>
        <v>0.36513474015724173</v>
      </c>
    </row>
    <row r="70" spans="1:11" x14ac:dyDescent="0.3">
      <c r="A70" t="s">
        <v>12</v>
      </c>
      <c r="B70">
        <v>2001</v>
      </c>
      <c r="C70">
        <v>2</v>
      </c>
      <c r="D70">
        <v>0</v>
      </c>
      <c r="E70">
        <v>0</v>
      </c>
      <c r="F70">
        <v>983.54</v>
      </c>
    </row>
    <row r="71" spans="1:11" x14ac:dyDescent="0.3">
      <c r="A71" t="s">
        <v>12</v>
      </c>
      <c r="B71">
        <v>2001</v>
      </c>
      <c r="C71">
        <v>3</v>
      </c>
      <c r="D71">
        <v>0</v>
      </c>
      <c r="E71">
        <v>0</v>
      </c>
      <c r="F71">
        <v>997.71</v>
      </c>
    </row>
    <row r="72" spans="1:11" x14ac:dyDescent="0.3">
      <c r="A72" t="s">
        <v>12</v>
      </c>
      <c r="B72">
        <v>11</v>
      </c>
      <c r="C72">
        <v>20</v>
      </c>
      <c r="D72">
        <v>13459474.043945299</v>
      </c>
      <c r="E72">
        <v>0</v>
      </c>
      <c r="F72">
        <v>1012.67</v>
      </c>
      <c r="G72" t="s">
        <v>8</v>
      </c>
      <c r="H72">
        <v>5</v>
      </c>
      <c r="I72">
        <f t="shared" ref="I72:J74" si="11">D72/(C72+D72)</f>
        <v>0.99999851406004303</v>
      </c>
      <c r="J72" s="6">
        <f t="shared" si="11"/>
        <v>0</v>
      </c>
      <c r="K72" s="2">
        <f>(J72*$N$3)/$N$2</f>
        <v>0</v>
      </c>
    </row>
    <row r="73" spans="1:11" x14ac:dyDescent="0.3">
      <c r="A73" t="s">
        <v>12</v>
      </c>
      <c r="B73">
        <v>11</v>
      </c>
      <c r="C73">
        <v>22</v>
      </c>
      <c r="D73">
        <v>13090386.2348633</v>
      </c>
      <c r="E73">
        <v>0</v>
      </c>
      <c r="F73">
        <v>1027.25</v>
      </c>
      <c r="G73" t="s">
        <v>8</v>
      </c>
      <c r="H73">
        <v>5</v>
      </c>
      <c r="I73">
        <f t="shared" si="11"/>
        <v>0.99999831938014416</v>
      </c>
      <c r="J73" s="6">
        <f t="shared" si="11"/>
        <v>0</v>
      </c>
      <c r="K73" s="2">
        <f>(J73*$N$3)/$N$2</f>
        <v>0</v>
      </c>
    </row>
    <row r="74" spans="1:11" x14ac:dyDescent="0.3">
      <c r="A74" t="s">
        <v>12</v>
      </c>
      <c r="B74">
        <v>11</v>
      </c>
      <c r="C74">
        <v>24</v>
      </c>
      <c r="D74">
        <v>11991438.130859399</v>
      </c>
      <c r="E74">
        <v>0</v>
      </c>
      <c r="F74">
        <v>1042.2</v>
      </c>
      <c r="G74" t="s">
        <v>8</v>
      </c>
      <c r="H74">
        <v>5</v>
      </c>
      <c r="I74">
        <f t="shared" si="11"/>
        <v>0.99999799857600868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12</v>
      </c>
      <c r="B75">
        <v>2001</v>
      </c>
      <c r="C75">
        <v>2</v>
      </c>
      <c r="D75">
        <v>0</v>
      </c>
      <c r="E75">
        <v>0</v>
      </c>
      <c r="F75">
        <v>1056.6600000000001</v>
      </c>
    </row>
    <row r="76" spans="1:11" x14ac:dyDescent="0.3">
      <c r="A76" t="s">
        <v>12</v>
      </c>
      <c r="B76">
        <v>2001</v>
      </c>
      <c r="C76">
        <v>3</v>
      </c>
      <c r="D76">
        <v>0</v>
      </c>
      <c r="E76">
        <v>0</v>
      </c>
      <c r="F76">
        <v>1070.3499999999999</v>
      </c>
    </row>
    <row r="77" spans="1:11" x14ac:dyDescent="0.3">
      <c r="A77" t="s">
        <v>12</v>
      </c>
      <c r="B77">
        <v>2001</v>
      </c>
      <c r="C77">
        <v>2</v>
      </c>
      <c r="D77">
        <v>0</v>
      </c>
      <c r="E77">
        <v>0</v>
      </c>
      <c r="F77">
        <v>1084.82</v>
      </c>
    </row>
    <row r="78" spans="1:11" x14ac:dyDescent="0.3">
      <c r="A78" t="s">
        <v>12</v>
      </c>
      <c r="B78">
        <v>2001</v>
      </c>
      <c r="C78">
        <v>3</v>
      </c>
      <c r="D78">
        <v>0</v>
      </c>
      <c r="E78">
        <v>0</v>
      </c>
      <c r="F78">
        <v>1099.05</v>
      </c>
    </row>
    <row r="79" spans="1:11" x14ac:dyDescent="0.3">
      <c r="A79" t="s">
        <v>12</v>
      </c>
      <c r="B79">
        <v>10</v>
      </c>
      <c r="C79">
        <v>14</v>
      </c>
      <c r="D79">
        <v>2976159.76953125</v>
      </c>
      <c r="E79">
        <v>584701.00488281297</v>
      </c>
      <c r="F79">
        <v>1113.75</v>
      </c>
      <c r="G79" t="s">
        <v>7</v>
      </c>
      <c r="H79">
        <v>10</v>
      </c>
      <c r="I79">
        <f t="shared" ref="I79:J81" si="12">D79/(C79+D79)</f>
        <v>0.99999529597359427</v>
      </c>
      <c r="J79" s="6">
        <f t="shared" si="12"/>
        <v>0.16420215277274497</v>
      </c>
      <c r="K79" s="2">
        <f>(J79*$N$3)/$N$2</f>
        <v>0.56387966365721298</v>
      </c>
    </row>
    <row r="80" spans="1:11" x14ac:dyDescent="0.3">
      <c r="A80" t="s">
        <v>12</v>
      </c>
      <c r="B80">
        <v>10</v>
      </c>
      <c r="C80">
        <v>16</v>
      </c>
      <c r="D80">
        <v>5007980.98046875</v>
      </c>
      <c r="E80">
        <v>1149009.2675781299</v>
      </c>
      <c r="F80">
        <v>1128.48</v>
      </c>
      <c r="G80" t="s">
        <v>7</v>
      </c>
      <c r="H80">
        <v>10</v>
      </c>
      <c r="I80">
        <f t="shared" si="12"/>
        <v>0.99999680510989475</v>
      </c>
      <c r="J80" s="6">
        <f t="shared" si="12"/>
        <v>0.18661865965154298</v>
      </c>
      <c r="K80" s="2">
        <f>(J80*$N$3)/$N$2</f>
        <v>0.64085924124338634</v>
      </c>
    </row>
    <row r="81" spans="1:11" x14ac:dyDescent="0.3">
      <c r="A81" t="s">
        <v>12</v>
      </c>
      <c r="B81">
        <v>10</v>
      </c>
      <c r="C81">
        <v>18</v>
      </c>
      <c r="D81">
        <v>5678981.6699218797</v>
      </c>
      <c r="E81">
        <v>1140591.6025390599</v>
      </c>
      <c r="F81">
        <v>1143.08</v>
      </c>
      <c r="G81" t="s">
        <v>7</v>
      </c>
      <c r="H81">
        <v>10</v>
      </c>
      <c r="I81">
        <f t="shared" si="12"/>
        <v>0.99999683042770804</v>
      </c>
      <c r="J81" s="6">
        <f t="shared" si="12"/>
        <v>0.16725263546108382</v>
      </c>
      <c r="K81" s="2">
        <f>(J81*$N$3)/$N$2</f>
        <v>0.57435519715812433</v>
      </c>
    </row>
    <row r="82" spans="1:11" x14ac:dyDescent="0.3">
      <c r="A82" t="s">
        <v>12</v>
      </c>
      <c r="B82">
        <v>2001</v>
      </c>
      <c r="C82">
        <v>2</v>
      </c>
      <c r="D82">
        <v>0</v>
      </c>
      <c r="E82">
        <v>0</v>
      </c>
      <c r="F82">
        <v>1157.51</v>
      </c>
    </row>
    <row r="83" spans="1:11" x14ac:dyDescent="0.3">
      <c r="A83" t="s">
        <v>12</v>
      </c>
      <c r="B83">
        <v>2001</v>
      </c>
      <c r="C83">
        <v>3</v>
      </c>
      <c r="D83">
        <v>0</v>
      </c>
      <c r="E83">
        <v>0</v>
      </c>
      <c r="F83">
        <v>1171.67</v>
      </c>
    </row>
    <row r="84" spans="1:11" x14ac:dyDescent="0.3">
      <c r="A84" t="s">
        <v>12</v>
      </c>
      <c r="B84">
        <v>10</v>
      </c>
      <c r="C84">
        <v>20</v>
      </c>
      <c r="D84">
        <v>11431860.786132799</v>
      </c>
      <c r="E84">
        <v>0</v>
      </c>
      <c r="F84">
        <v>1186.3800000000001</v>
      </c>
      <c r="G84" t="s">
        <v>8</v>
      </c>
      <c r="H84">
        <v>10</v>
      </c>
      <c r="I84">
        <f t="shared" ref="I84:J86" si="13">D84/(C84+D84)</f>
        <v>0.99999825050659863</v>
      </c>
      <c r="J84" s="6">
        <f t="shared" si="13"/>
        <v>0</v>
      </c>
      <c r="K84" s="2">
        <f>(J84*$N$3)/$N$2</f>
        <v>0</v>
      </c>
    </row>
    <row r="85" spans="1:11" x14ac:dyDescent="0.3">
      <c r="A85" t="s">
        <v>12</v>
      </c>
      <c r="B85">
        <v>10</v>
      </c>
      <c r="C85">
        <v>22</v>
      </c>
      <c r="D85">
        <v>11534811.2587891</v>
      </c>
      <c r="E85">
        <v>0</v>
      </c>
      <c r="F85">
        <v>1201.04</v>
      </c>
      <c r="G85" t="s">
        <v>8</v>
      </c>
      <c r="H85">
        <v>10</v>
      </c>
      <c r="I85">
        <f t="shared" si="13"/>
        <v>0.99999809273359164</v>
      </c>
      <c r="J85" s="6">
        <f t="shared" si="13"/>
        <v>0</v>
      </c>
      <c r="K85" s="2">
        <f>(J85*$N$3)/$N$2</f>
        <v>0</v>
      </c>
    </row>
    <row r="86" spans="1:11" x14ac:dyDescent="0.3">
      <c r="A86" t="s">
        <v>12</v>
      </c>
      <c r="B86">
        <v>10</v>
      </c>
      <c r="C86">
        <v>24</v>
      </c>
      <c r="D86">
        <v>9923470.2910156306</v>
      </c>
      <c r="E86">
        <v>0</v>
      </c>
      <c r="F86">
        <v>1215.76</v>
      </c>
      <c r="G86" t="s">
        <v>8</v>
      </c>
      <c r="H86">
        <v>10</v>
      </c>
      <c r="I86">
        <f t="shared" si="13"/>
        <v>0.99999758149707185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12</v>
      </c>
      <c r="B87">
        <v>2001</v>
      </c>
      <c r="C87">
        <v>2</v>
      </c>
      <c r="D87">
        <v>0</v>
      </c>
      <c r="E87">
        <v>0</v>
      </c>
      <c r="F87">
        <v>1230.24</v>
      </c>
    </row>
    <row r="88" spans="1:11" x14ac:dyDescent="0.3">
      <c r="A88" t="s">
        <v>12</v>
      </c>
      <c r="B88">
        <v>2001</v>
      </c>
      <c r="C88">
        <v>3</v>
      </c>
      <c r="D88">
        <v>0</v>
      </c>
      <c r="E88">
        <v>0</v>
      </c>
      <c r="F88">
        <v>1244.42</v>
      </c>
    </row>
    <row r="89" spans="1:11" x14ac:dyDescent="0.3">
      <c r="A89" t="s">
        <v>12</v>
      </c>
      <c r="B89">
        <v>2001</v>
      </c>
      <c r="C89">
        <v>2</v>
      </c>
      <c r="D89">
        <v>0</v>
      </c>
      <c r="E89">
        <v>0</v>
      </c>
      <c r="F89">
        <v>1258.8</v>
      </c>
    </row>
    <row r="90" spans="1:11" x14ac:dyDescent="0.3">
      <c r="A90" t="s">
        <v>12</v>
      </c>
      <c r="B90">
        <v>2001</v>
      </c>
      <c r="C90">
        <v>3</v>
      </c>
      <c r="D90">
        <v>0</v>
      </c>
      <c r="E90">
        <v>0</v>
      </c>
      <c r="F90">
        <v>1272.98</v>
      </c>
    </row>
    <row r="91" spans="1:11" x14ac:dyDescent="0.3">
      <c r="A91" t="s">
        <v>12</v>
      </c>
      <c r="B91">
        <v>9</v>
      </c>
      <c r="C91">
        <v>14</v>
      </c>
      <c r="D91">
        <v>1422460.1855468799</v>
      </c>
      <c r="E91">
        <v>609248.45800781297</v>
      </c>
      <c r="F91">
        <v>1287.69</v>
      </c>
      <c r="G91" t="s">
        <v>7</v>
      </c>
      <c r="H91">
        <v>20</v>
      </c>
      <c r="I91">
        <f t="shared" ref="I91:J93" si="14">D91/(C91+D91)</f>
        <v>0.99999015799362667</v>
      </c>
      <c r="J91" s="6">
        <f t="shared" si="14"/>
        <v>0.29986999363347061</v>
      </c>
      <c r="K91" s="2">
        <f>(J91*$N$3)/$N$2</f>
        <v>1.0297708543745623</v>
      </c>
    </row>
    <row r="92" spans="1:11" x14ac:dyDescent="0.3">
      <c r="A92" t="s">
        <v>12</v>
      </c>
      <c r="B92">
        <v>9</v>
      </c>
      <c r="C92">
        <v>16</v>
      </c>
      <c r="D92">
        <v>2790516.55078125</v>
      </c>
      <c r="E92">
        <v>1408895.1015625</v>
      </c>
      <c r="F92">
        <v>1302.5</v>
      </c>
      <c r="G92" t="s">
        <v>7</v>
      </c>
      <c r="H92">
        <v>20</v>
      </c>
      <c r="I92">
        <f t="shared" si="14"/>
        <v>0.99999426632740929</v>
      </c>
      <c r="J92" s="6">
        <f t="shared" si="14"/>
        <v>0.33549821217840742</v>
      </c>
      <c r="K92" s="2">
        <f>(J92*$N$3)/$N$2</f>
        <v>1.1521202118621536</v>
      </c>
    </row>
    <row r="93" spans="1:11" x14ac:dyDescent="0.3">
      <c r="A93" t="s">
        <v>12</v>
      </c>
      <c r="B93">
        <v>9</v>
      </c>
      <c r="C93">
        <v>18</v>
      </c>
      <c r="D93">
        <v>3108850.390625</v>
      </c>
      <c r="E93">
        <v>1361243.6254882801</v>
      </c>
      <c r="F93">
        <v>1317.21</v>
      </c>
      <c r="G93" t="s">
        <v>7</v>
      </c>
      <c r="H93">
        <v>20</v>
      </c>
      <c r="I93">
        <f t="shared" si="14"/>
        <v>0.9999942101119319</v>
      </c>
      <c r="J93" s="6">
        <f t="shared" si="14"/>
        <v>0.30452237035315716</v>
      </c>
      <c r="K93" s="2">
        <f>(J93*$N$3)/$N$2</f>
        <v>1.045747384374959</v>
      </c>
    </row>
    <row r="94" spans="1:11" x14ac:dyDescent="0.3">
      <c r="A94" t="s">
        <v>12</v>
      </c>
      <c r="B94">
        <v>2001</v>
      </c>
      <c r="C94">
        <v>2</v>
      </c>
      <c r="D94">
        <v>0</v>
      </c>
      <c r="E94">
        <v>0</v>
      </c>
      <c r="F94">
        <v>1331.5</v>
      </c>
    </row>
    <row r="95" spans="1:11" x14ac:dyDescent="0.3">
      <c r="A95" t="s">
        <v>12</v>
      </c>
      <c r="B95">
        <v>2001</v>
      </c>
      <c r="C95">
        <v>3</v>
      </c>
      <c r="D95">
        <v>0</v>
      </c>
      <c r="E95">
        <v>0</v>
      </c>
      <c r="F95">
        <v>1345.68</v>
      </c>
    </row>
    <row r="96" spans="1:11" x14ac:dyDescent="0.3">
      <c r="A96" t="s">
        <v>12</v>
      </c>
      <c r="B96">
        <v>9</v>
      </c>
      <c r="C96">
        <v>20</v>
      </c>
      <c r="D96">
        <v>11156551.106445299</v>
      </c>
      <c r="E96">
        <v>0</v>
      </c>
      <c r="F96">
        <v>1360.4</v>
      </c>
      <c r="G96" t="s">
        <v>8</v>
      </c>
      <c r="H96">
        <v>20</v>
      </c>
      <c r="I96">
        <f t="shared" ref="I96:J98" si="15">D96/(C96+D96)</f>
        <v>0.99999820733451084</v>
      </c>
      <c r="J96" s="6">
        <f t="shared" si="15"/>
        <v>0</v>
      </c>
      <c r="K96" s="2">
        <f>(J96*$N$3)/$N$2</f>
        <v>0</v>
      </c>
    </row>
    <row r="97" spans="1:11" x14ac:dyDescent="0.3">
      <c r="A97" t="s">
        <v>12</v>
      </c>
      <c r="B97">
        <v>9</v>
      </c>
      <c r="C97">
        <v>22</v>
      </c>
      <c r="D97">
        <v>10045795.5791016</v>
      </c>
      <c r="E97">
        <v>0</v>
      </c>
      <c r="F97">
        <v>1375.12</v>
      </c>
      <c r="G97" t="s">
        <v>8</v>
      </c>
      <c r="H97">
        <v>20</v>
      </c>
      <c r="I97">
        <f t="shared" si="15"/>
        <v>0.99999781003389454</v>
      </c>
      <c r="J97" s="6">
        <f t="shared" si="15"/>
        <v>0</v>
      </c>
      <c r="K97" s="2">
        <f>(J97*$N$3)/$N$2</f>
        <v>0</v>
      </c>
    </row>
    <row r="98" spans="1:11" x14ac:dyDescent="0.3">
      <c r="A98" t="s">
        <v>12</v>
      </c>
      <c r="B98">
        <v>9</v>
      </c>
      <c r="C98">
        <v>24</v>
      </c>
      <c r="D98">
        <v>10146987.5390625</v>
      </c>
      <c r="E98">
        <v>0</v>
      </c>
      <c r="F98">
        <v>1389.84</v>
      </c>
      <c r="G98" t="s">
        <v>8</v>
      </c>
      <c r="H98">
        <v>20</v>
      </c>
      <c r="I98">
        <f t="shared" si="15"/>
        <v>0.99999763477158687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12</v>
      </c>
      <c r="B99">
        <v>2001</v>
      </c>
      <c r="C99">
        <v>2</v>
      </c>
      <c r="D99">
        <v>0</v>
      </c>
      <c r="E99">
        <v>0</v>
      </c>
      <c r="F99">
        <v>1404.25</v>
      </c>
    </row>
    <row r="100" spans="1:11" x14ac:dyDescent="0.3">
      <c r="A100" t="s">
        <v>12</v>
      </c>
      <c r="B100">
        <v>2001</v>
      </c>
      <c r="C100">
        <v>3</v>
      </c>
      <c r="D100">
        <v>0</v>
      </c>
      <c r="E100">
        <v>0</v>
      </c>
      <c r="F100">
        <v>1418.47</v>
      </c>
    </row>
    <row r="101" spans="1:11" x14ac:dyDescent="0.3">
      <c r="A101" t="s">
        <v>12</v>
      </c>
      <c r="B101">
        <v>2001</v>
      </c>
      <c r="C101">
        <v>2</v>
      </c>
      <c r="D101">
        <v>0</v>
      </c>
      <c r="E101">
        <v>0</v>
      </c>
      <c r="F101">
        <v>1432.92</v>
      </c>
    </row>
    <row r="102" spans="1:11" x14ac:dyDescent="0.3">
      <c r="A102" t="s">
        <v>12</v>
      </c>
      <c r="B102">
        <v>2001</v>
      </c>
      <c r="C102">
        <v>3</v>
      </c>
      <c r="D102">
        <v>0</v>
      </c>
      <c r="E102">
        <v>0</v>
      </c>
      <c r="F102">
        <v>1446.99</v>
      </c>
    </row>
    <row r="103" spans="1:11" x14ac:dyDescent="0.3">
      <c r="A103" t="s">
        <v>12</v>
      </c>
      <c r="B103">
        <v>2001</v>
      </c>
      <c r="C103">
        <v>2</v>
      </c>
      <c r="D103">
        <v>0</v>
      </c>
      <c r="E103">
        <v>0</v>
      </c>
      <c r="F103">
        <v>1461.41</v>
      </c>
    </row>
    <row r="104" spans="1:11" x14ac:dyDescent="0.3">
      <c r="A104" t="s">
        <v>12</v>
      </c>
      <c r="B104">
        <v>2001</v>
      </c>
      <c r="C104">
        <v>3</v>
      </c>
      <c r="D104">
        <v>0</v>
      </c>
      <c r="E104">
        <v>0</v>
      </c>
      <c r="F104">
        <v>1475.62</v>
      </c>
    </row>
    <row r="105" spans="1:11" x14ac:dyDescent="0.3">
      <c r="A105" t="s">
        <v>12</v>
      </c>
      <c r="B105">
        <v>8</v>
      </c>
      <c r="C105">
        <v>14</v>
      </c>
      <c r="D105">
        <v>1389276.0004882801</v>
      </c>
      <c r="E105">
        <v>1458007.95703125</v>
      </c>
      <c r="F105">
        <v>1490.29</v>
      </c>
      <c r="G105" t="s">
        <v>7</v>
      </c>
      <c r="H105">
        <v>40</v>
      </c>
      <c r="I105">
        <f t="shared" ref="I105:J107" si="16">D105/(C105+D105)</f>
        <v>0.999989922910267</v>
      </c>
      <c r="J105" s="6">
        <f t="shared" si="16"/>
        <v>0.51206974042077047</v>
      </c>
      <c r="K105" s="2">
        <f>(J105*$N$3)/$N$2</f>
        <v>1.7584770243367218</v>
      </c>
    </row>
    <row r="106" spans="1:11" x14ac:dyDescent="0.3">
      <c r="A106" t="s">
        <v>12</v>
      </c>
      <c r="B106">
        <v>8</v>
      </c>
      <c r="C106">
        <v>16</v>
      </c>
      <c r="D106">
        <v>2039420.0488281299</v>
      </c>
      <c r="E106">
        <v>2656329.68115234</v>
      </c>
      <c r="F106">
        <v>1504.98</v>
      </c>
      <c r="G106" t="s">
        <v>7</v>
      </c>
      <c r="H106">
        <v>40</v>
      </c>
      <c r="I106">
        <f t="shared" si="16"/>
        <v>0.99999215469393654</v>
      </c>
      <c r="J106" s="6">
        <f t="shared" si="16"/>
        <v>0.56568808686560645</v>
      </c>
      <c r="K106" s="2">
        <f>(J106*$N$3)/$N$2</f>
        <v>1.9426055186873055</v>
      </c>
    </row>
    <row r="107" spans="1:11" x14ac:dyDescent="0.3">
      <c r="A107" t="s">
        <v>12</v>
      </c>
      <c r="B107">
        <v>8</v>
      </c>
      <c r="C107">
        <v>18</v>
      </c>
      <c r="D107">
        <v>2267848.9863281301</v>
      </c>
      <c r="E107">
        <v>2498007.7587890602</v>
      </c>
      <c r="F107">
        <v>1519.71</v>
      </c>
      <c r="G107" t="s">
        <v>7</v>
      </c>
      <c r="H107">
        <v>40</v>
      </c>
      <c r="I107">
        <f t="shared" si="16"/>
        <v>0.99999206302657584</v>
      </c>
      <c r="J107" s="6">
        <f t="shared" si="16"/>
        <v>0.5241466314211749</v>
      </c>
      <c r="K107" s="2">
        <f>(J107*$N$3)/$N$2</f>
        <v>1.7999497646165508</v>
      </c>
    </row>
    <row r="108" spans="1:11" x14ac:dyDescent="0.3">
      <c r="A108" t="s">
        <v>12</v>
      </c>
      <c r="B108">
        <v>2001</v>
      </c>
      <c r="C108">
        <v>2</v>
      </c>
      <c r="D108">
        <v>0</v>
      </c>
      <c r="E108">
        <v>0</v>
      </c>
      <c r="F108">
        <v>1534.17</v>
      </c>
    </row>
    <row r="109" spans="1:11" x14ac:dyDescent="0.3">
      <c r="A109" t="s">
        <v>12</v>
      </c>
      <c r="B109">
        <v>2001</v>
      </c>
      <c r="C109">
        <v>3</v>
      </c>
      <c r="D109">
        <v>0</v>
      </c>
      <c r="E109">
        <v>0</v>
      </c>
      <c r="F109">
        <v>1548.39</v>
      </c>
    </row>
    <row r="110" spans="1:11" x14ac:dyDescent="0.3">
      <c r="A110" t="s">
        <v>12</v>
      </c>
      <c r="B110">
        <v>2001</v>
      </c>
      <c r="C110">
        <v>2</v>
      </c>
      <c r="D110">
        <v>0</v>
      </c>
      <c r="E110">
        <v>0</v>
      </c>
      <c r="F110">
        <v>1562.72</v>
      </c>
    </row>
    <row r="111" spans="1:11" x14ac:dyDescent="0.3">
      <c r="A111" t="s">
        <v>12</v>
      </c>
      <c r="B111">
        <v>2001</v>
      </c>
      <c r="C111">
        <v>3</v>
      </c>
      <c r="D111">
        <v>0</v>
      </c>
      <c r="E111">
        <v>0</v>
      </c>
      <c r="F111">
        <v>1576.9</v>
      </c>
    </row>
    <row r="112" spans="1:11" x14ac:dyDescent="0.3">
      <c r="A112" t="s">
        <v>12</v>
      </c>
      <c r="B112">
        <v>8</v>
      </c>
      <c r="C112">
        <v>20</v>
      </c>
      <c r="D112">
        <v>8394493.52099609</v>
      </c>
      <c r="E112">
        <v>0</v>
      </c>
      <c r="F112">
        <v>1591.62</v>
      </c>
      <c r="G112" t="s">
        <v>8</v>
      </c>
      <c r="H112">
        <v>40</v>
      </c>
      <c r="I112">
        <f t="shared" ref="I112:J114" si="17">D112/(C112+D112)</f>
        <v>0.9999976174914782</v>
      </c>
      <c r="J112" s="6">
        <f t="shared" si="17"/>
        <v>0</v>
      </c>
      <c r="K112" s="2">
        <f>(J112*$N$3)/$N$2</f>
        <v>0</v>
      </c>
    </row>
    <row r="113" spans="1:11" x14ac:dyDescent="0.3">
      <c r="A113" t="s">
        <v>12</v>
      </c>
      <c r="B113">
        <v>8</v>
      </c>
      <c r="C113">
        <v>22</v>
      </c>
      <c r="D113">
        <v>8647987.69140625</v>
      </c>
      <c r="E113">
        <v>0</v>
      </c>
      <c r="F113">
        <v>1606.43</v>
      </c>
      <c r="G113" t="s">
        <v>8</v>
      </c>
      <c r="H113">
        <v>40</v>
      </c>
      <c r="I113">
        <f t="shared" si="17"/>
        <v>0.99999745606205526</v>
      </c>
      <c r="J113" s="6">
        <f t="shared" si="17"/>
        <v>0</v>
      </c>
      <c r="K113" s="2">
        <f>(J113*$N$3)/$N$2</f>
        <v>0</v>
      </c>
    </row>
    <row r="114" spans="1:11" x14ac:dyDescent="0.3">
      <c r="A114" t="s">
        <v>12</v>
      </c>
      <c r="B114">
        <v>8</v>
      </c>
      <c r="C114">
        <v>24</v>
      </c>
      <c r="D114">
        <v>9516950.5625</v>
      </c>
      <c r="E114">
        <v>0</v>
      </c>
      <c r="F114">
        <v>1621.01</v>
      </c>
      <c r="G114" t="s">
        <v>8</v>
      </c>
      <c r="H114">
        <v>40</v>
      </c>
      <c r="I114">
        <f t="shared" si="17"/>
        <v>0.99999747819017037</v>
      </c>
      <c r="J114" s="6">
        <f t="shared" si="17"/>
        <v>0</v>
      </c>
      <c r="K114" s="2">
        <f>(J114*$N$3)/$N$2</f>
        <v>0</v>
      </c>
    </row>
    <row r="115" spans="1:11" x14ac:dyDescent="0.3">
      <c r="A115" t="s">
        <v>12</v>
      </c>
      <c r="B115">
        <v>2001</v>
      </c>
      <c r="C115">
        <v>2</v>
      </c>
      <c r="D115">
        <v>0</v>
      </c>
      <c r="E115">
        <v>0</v>
      </c>
      <c r="F115">
        <v>1635.46</v>
      </c>
    </row>
    <row r="116" spans="1:11" x14ac:dyDescent="0.3">
      <c r="A116" t="s">
        <v>12</v>
      </c>
      <c r="B116">
        <v>2001</v>
      </c>
      <c r="C116">
        <v>3</v>
      </c>
      <c r="D116">
        <v>0</v>
      </c>
      <c r="E116">
        <v>0</v>
      </c>
      <c r="F116">
        <v>1649.66</v>
      </c>
    </row>
    <row r="117" spans="1:11" x14ac:dyDescent="0.3">
      <c r="A117" t="s">
        <v>12</v>
      </c>
      <c r="B117">
        <v>2001</v>
      </c>
      <c r="C117">
        <v>2</v>
      </c>
      <c r="D117">
        <v>0</v>
      </c>
      <c r="E117">
        <v>0</v>
      </c>
      <c r="F117">
        <v>1664.11</v>
      </c>
    </row>
    <row r="118" spans="1:11" x14ac:dyDescent="0.3">
      <c r="A118" t="s">
        <v>12</v>
      </c>
      <c r="B118">
        <v>2001</v>
      </c>
      <c r="C118">
        <v>3</v>
      </c>
      <c r="D118">
        <v>0</v>
      </c>
      <c r="E118">
        <v>0</v>
      </c>
      <c r="F118">
        <v>1678.27</v>
      </c>
    </row>
    <row r="119" spans="1:11" x14ac:dyDescent="0.3">
      <c r="A119" t="s">
        <v>12</v>
      </c>
      <c r="B119">
        <v>7</v>
      </c>
      <c r="C119">
        <v>14</v>
      </c>
      <c r="D119">
        <v>547030.525390625</v>
      </c>
      <c r="E119">
        <v>1174832.3203125</v>
      </c>
      <c r="F119">
        <v>1692.97</v>
      </c>
      <c r="G119" t="s">
        <v>7</v>
      </c>
      <c r="H119">
        <v>60</v>
      </c>
      <c r="I119">
        <f t="shared" ref="I119:J121" si="18">D119/(C119+D119)</f>
        <v>0.99997440793326653</v>
      </c>
      <c r="J119" s="6">
        <f t="shared" si="18"/>
        <v>0.68230307846195248</v>
      </c>
      <c r="K119" s="2">
        <f>(J119*$N$3)/$N$2</f>
        <v>2.3430681260792041</v>
      </c>
    </row>
    <row r="120" spans="1:11" x14ac:dyDescent="0.3">
      <c r="A120" t="s">
        <v>12</v>
      </c>
      <c r="B120">
        <v>7</v>
      </c>
      <c r="C120">
        <v>16</v>
      </c>
      <c r="D120">
        <v>582296.12988281297</v>
      </c>
      <c r="E120">
        <v>1776050.47265625</v>
      </c>
      <c r="F120">
        <v>1707.67</v>
      </c>
      <c r="G120" t="s">
        <v>7</v>
      </c>
      <c r="H120">
        <v>60</v>
      </c>
      <c r="I120">
        <f t="shared" si="18"/>
        <v>0.99997252332696007</v>
      </c>
      <c r="J120" s="6">
        <f t="shared" si="18"/>
        <v>0.75309136949764022</v>
      </c>
      <c r="K120" s="2">
        <f>(J120*$N$3)/$N$2</f>
        <v>2.5861592005020597</v>
      </c>
    </row>
    <row r="121" spans="1:11" x14ac:dyDescent="0.3">
      <c r="A121" t="s">
        <v>12</v>
      </c>
      <c r="B121">
        <v>7</v>
      </c>
      <c r="C121">
        <v>18</v>
      </c>
      <c r="D121">
        <v>631935.45800781297</v>
      </c>
      <c r="E121">
        <v>1627653.9296875</v>
      </c>
      <c r="F121">
        <v>1722.4</v>
      </c>
      <c r="G121" t="s">
        <v>7</v>
      </c>
      <c r="H121">
        <v>60</v>
      </c>
      <c r="I121">
        <f t="shared" si="18"/>
        <v>0.99997151688977737</v>
      </c>
      <c r="J121" s="6">
        <f t="shared" si="18"/>
        <v>0.72033172865431061</v>
      </c>
      <c r="K121" s="2">
        <f>(J121*$N$3)/$N$2</f>
        <v>2.4736607042988243</v>
      </c>
    </row>
    <row r="122" spans="1:11" x14ac:dyDescent="0.3">
      <c r="A122" t="s">
        <v>12</v>
      </c>
      <c r="B122">
        <v>2001</v>
      </c>
      <c r="C122">
        <v>2</v>
      </c>
      <c r="D122">
        <v>0</v>
      </c>
      <c r="E122">
        <v>0</v>
      </c>
      <c r="F122">
        <v>1736.8</v>
      </c>
    </row>
    <row r="123" spans="1:11" x14ac:dyDescent="0.3">
      <c r="A123" t="s">
        <v>12</v>
      </c>
      <c r="B123">
        <v>2001</v>
      </c>
      <c r="C123">
        <v>3</v>
      </c>
      <c r="D123">
        <v>0</v>
      </c>
      <c r="E123">
        <v>0</v>
      </c>
      <c r="F123">
        <v>1751.01</v>
      </c>
    </row>
    <row r="124" spans="1:11" x14ac:dyDescent="0.3">
      <c r="A124" t="s">
        <v>12</v>
      </c>
      <c r="B124">
        <v>2001</v>
      </c>
      <c r="C124">
        <v>2</v>
      </c>
      <c r="D124">
        <v>0</v>
      </c>
      <c r="E124">
        <v>0</v>
      </c>
      <c r="F124">
        <v>1765.45</v>
      </c>
    </row>
    <row r="125" spans="1:11" x14ac:dyDescent="0.3">
      <c r="A125" t="s">
        <v>12</v>
      </c>
      <c r="B125">
        <v>2001</v>
      </c>
      <c r="C125">
        <v>3</v>
      </c>
      <c r="D125">
        <v>0</v>
      </c>
      <c r="E125">
        <v>0</v>
      </c>
      <c r="F125">
        <v>1779.6</v>
      </c>
    </row>
    <row r="126" spans="1:11" x14ac:dyDescent="0.3">
      <c r="A126" t="s">
        <v>12</v>
      </c>
      <c r="B126">
        <v>7</v>
      </c>
      <c r="C126">
        <v>20</v>
      </c>
      <c r="D126">
        <v>6740505.6875</v>
      </c>
      <c r="E126">
        <v>0</v>
      </c>
      <c r="F126">
        <v>1794.33</v>
      </c>
      <c r="G126" t="s">
        <v>8</v>
      </c>
      <c r="H126">
        <v>60</v>
      </c>
      <c r="I126">
        <f t="shared" ref="I126:J128" si="19">D126/(C126+D126)</f>
        <v>0.99999703287237118</v>
      </c>
      <c r="J126" s="6">
        <f t="shared" si="19"/>
        <v>0</v>
      </c>
      <c r="K126" s="2">
        <f>(J126*$N$3)/$N$2</f>
        <v>0</v>
      </c>
    </row>
    <row r="127" spans="1:11" x14ac:dyDescent="0.3">
      <c r="A127" t="s">
        <v>12</v>
      </c>
      <c r="B127">
        <v>7</v>
      </c>
      <c r="C127">
        <v>22</v>
      </c>
      <c r="D127">
        <v>6525759.15234375</v>
      </c>
      <c r="E127">
        <v>0</v>
      </c>
      <c r="F127">
        <v>1809.03</v>
      </c>
      <c r="G127" t="s">
        <v>8</v>
      </c>
      <c r="H127">
        <v>60</v>
      </c>
      <c r="I127">
        <f t="shared" si="19"/>
        <v>0.99999662875608508</v>
      </c>
      <c r="J127" s="6">
        <f t="shared" si="19"/>
        <v>0</v>
      </c>
      <c r="K127" s="2">
        <f>(J127*$N$3)/$N$2</f>
        <v>0</v>
      </c>
    </row>
    <row r="128" spans="1:11" x14ac:dyDescent="0.3">
      <c r="A128" t="s">
        <v>12</v>
      </c>
      <c r="B128">
        <v>7</v>
      </c>
      <c r="C128">
        <v>24</v>
      </c>
      <c r="D128">
        <v>5268227.2607421903</v>
      </c>
      <c r="E128">
        <v>0</v>
      </c>
      <c r="F128">
        <v>1823.73</v>
      </c>
      <c r="G128" t="s">
        <v>8</v>
      </c>
      <c r="H128">
        <v>60</v>
      </c>
      <c r="I128">
        <f t="shared" si="19"/>
        <v>0.99999544440862587</v>
      </c>
      <c r="J128" s="6">
        <f t="shared" si="19"/>
        <v>0</v>
      </c>
      <c r="K128" s="2">
        <f>(J128*$N$3)/$N$2</f>
        <v>0</v>
      </c>
    </row>
    <row r="129" spans="1:11" x14ac:dyDescent="0.3">
      <c r="A129" t="s">
        <v>12</v>
      </c>
      <c r="B129">
        <v>2001</v>
      </c>
      <c r="C129">
        <v>2</v>
      </c>
      <c r="D129">
        <v>0</v>
      </c>
      <c r="E129">
        <v>0</v>
      </c>
      <c r="F129">
        <v>1838.09</v>
      </c>
    </row>
    <row r="130" spans="1:11" x14ac:dyDescent="0.3">
      <c r="A130" t="s">
        <v>12</v>
      </c>
      <c r="B130">
        <v>2001</v>
      </c>
      <c r="C130">
        <v>3</v>
      </c>
      <c r="D130">
        <v>0</v>
      </c>
      <c r="E130">
        <v>0</v>
      </c>
      <c r="F130">
        <v>1852.28</v>
      </c>
    </row>
    <row r="131" spans="1:11" x14ac:dyDescent="0.3">
      <c r="A131" t="s">
        <v>12</v>
      </c>
      <c r="B131">
        <v>2001</v>
      </c>
      <c r="C131">
        <v>2</v>
      </c>
      <c r="D131">
        <v>0</v>
      </c>
      <c r="E131">
        <v>0</v>
      </c>
      <c r="F131">
        <v>1866.72</v>
      </c>
    </row>
    <row r="132" spans="1:11" x14ac:dyDescent="0.3">
      <c r="A132" t="s">
        <v>12</v>
      </c>
      <c r="B132">
        <v>2001</v>
      </c>
      <c r="C132">
        <v>3</v>
      </c>
      <c r="D132">
        <v>0</v>
      </c>
      <c r="E132">
        <v>0</v>
      </c>
      <c r="F132">
        <v>1880.91</v>
      </c>
    </row>
    <row r="133" spans="1:11" x14ac:dyDescent="0.3">
      <c r="A133" t="s">
        <v>12</v>
      </c>
      <c r="B133">
        <v>6</v>
      </c>
      <c r="C133">
        <v>14</v>
      </c>
      <c r="D133">
        <v>47687.135253906301</v>
      </c>
      <c r="E133">
        <v>2696777.89453125</v>
      </c>
      <c r="F133">
        <v>1895.55</v>
      </c>
      <c r="G133" t="s">
        <v>7</v>
      </c>
      <c r="H133">
        <v>300</v>
      </c>
      <c r="I133">
        <f t="shared" ref="I133:J135" si="20">D133/(C133+D133)</f>
        <v>0.99970650593690313</v>
      </c>
      <c r="J133" s="6">
        <f t="shared" si="20"/>
        <v>0.98262425108851204</v>
      </c>
      <c r="K133" s="2">
        <f>(J133*$N$3)/$N$2</f>
        <v>3.3743883551396405</v>
      </c>
    </row>
    <row r="134" spans="1:11" x14ac:dyDescent="0.3">
      <c r="A134" t="s">
        <v>12</v>
      </c>
      <c r="B134">
        <v>6</v>
      </c>
      <c r="C134">
        <v>16</v>
      </c>
      <c r="D134">
        <v>58928.3642578125</v>
      </c>
      <c r="E134">
        <v>3519913.2480468801</v>
      </c>
      <c r="F134">
        <v>1910.28</v>
      </c>
      <c r="G134" t="s">
        <v>7</v>
      </c>
      <c r="H134">
        <v>300</v>
      </c>
      <c r="I134">
        <f t="shared" si="20"/>
        <v>0.99972855759492085</v>
      </c>
      <c r="J134" s="6">
        <f t="shared" si="20"/>
        <v>0.98353423519632543</v>
      </c>
      <c r="K134" s="2">
        <f>(J134*$N$3)/$N$2</f>
        <v>3.3775132930529543</v>
      </c>
    </row>
    <row r="135" spans="1:11" x14ac:dyDescent="0.3">
      <c r="A135" t="s">
        <v>12</v>
      </c>
      <c r="B135">
        <v>6</v>
      </c>
      <c r="C135">
        <v>18</v>
      </c>
      <c r="D135">
        <v>90817.3125</v>
      </c>
      <c r="E135">
        <v>4152328.296875</v>
      </c>
      <c r="F135">
        <v>1924.99</v>
      </c>
      <c r="G135" t="s">
        <v>7</v>
      </c>
      <c r="H135">
        <v>300</v>
      </c>
      <c r="I135">
        <f t="shared" si="20"/>
        <v>0.99980183918010956</v>
      </c>
      <c r="J135" s="6">
        <f t="shared" si="20"/>
        <v>0.97859670139545907</v>
      </c>
      <c r="K135" s="2">
        <f>(J135*$N$3)/$N$2</f>
        <v>3.3605575171881767</v>
      </c>
    </row>
    <row r="136" spans="1:11" x14ac:dyDescent="0.3">
      <c r="A136" t="s">
        <v>12</v>
      </c>
      <c r="B136">
        <v>2001</v>
      </c>
      <c r="C136">
        <v>2</v>
      </c>
      <c r="D136">
        <v>0</v>
      </c>
      <c r="E136">
        <v>121278.013183594</v>
      </c>
      <c r="F136">
        <v>1939.34</v>
      </c>
    </row>
    <row r="137" spans="1:11" x14ac:dyDescent="0.3">
      <c r="A137" t="s">
        <v>12</v>
      </c>
      <c r="B137">
        <v>2001</v>
      </c>
      <c r="C137">
        <v>3</v>
      </c>
      <c r="D137">
        <v>0</v>
      </c>
      <c r="E137">
        <v>0</v>
      </c>
      <c r="F137">
        <v>1953.55</v>
      </c>
    </row>
    <row r="138" spans="1:11" x14ac:dyDescent="0.3">
      <c r="A138" t="s">
        <v>12</v>
      </c>
      <c r="B138">
        <v>2001</v>
      </c>
      <c r="C138">
        <v>2</v>
      </c>
      <c r="D138">
        <v>0</v>
      </c>
      <c r="E138">
        <v>0</v>
      </c>
      <c r="F138">
        <v>1968.03</v>
      </c>
    </row>
    <row r="139" spans="1:11" x14ac:dyDescent="0.3">
      <c r="A139" t="s">
        <v>12</v>
      </c>
      <c r="B139">
        <v>2001</v>
      </c>
      <c r="C139">
        <v>3</v>
      </c>
      <c r="D139">
        <v>0</v>
      </c>
      <c r="E139">
        <v>0</v>
      </c>
      <c r="F139">
        <v>1982.21</v>
      </c>
    </row>
    <row r="140" spans="1:11" x14ac:dyDescent="0.3">
      <c r="A140" t="s">
        <v>12</v>
      </c>
      <c r="B140">
        <v>6</v>
      </c>
      <c r="C140">
        <v>20</v>
      </c>
      <c r="D140">
        <v>0</v>
      </c>
      <c r="E140">
        <v>0</v>
      </c>
      <c r="F140">
        <v>1996.9</v>
      </c>
      <c r="G140" t="s">
        <v>8</v>
      </c>
      <c r="H140">
        <v>300</v>
      </c>
      <c r="I140">
        <f t="shared" ref="I140:J142" si="21">D140/(C140+D140)</f>
        <v>0</v>
      </c>
      <c r="J140" s="6" t="e">
        <f t="shared" si="21"/>
        <v>#DIV/0!</v>
      </c>
      <c r="K140" s="2" t="e">
        <f>(J140*$N$3)/$N$2</f>
        <v>#DIV/0!</v>
      </c>
    </row>
    <row r="141" spans="1:11" x14ac:dyDescent="0.3">
      <c r="A141" t="s">
        <v>12</v>
      </c>
      <c r="B141">
        <v>6</v>
      </c>
      <c r="C141">
        <v>22</v>
      </c>
      <c r="D141">
        <v>680835.64990234398</v>
      </c>
      <c r="E141">
        <v>0</v>
      </c>
      <c r="F141">
        <v>2011.57</v>
      </c>
      <c r="G141" t="s">
        <v>8</v>
      </c>
      <c r="H141">
        <v>300</v>
      </c>
      <c r="I141">
        <f t="shared" si="21"/>
        <v>0.99996768781256529</v>
      </c>
      <c r="J141" s="6">
        <f t="shared" si="21"/>
        <v>0</v>
      </c>
      <c r="K141" s="2">
        <f>(J141*$N$3)/$N$2</f>
        <v>0</v>
      </c>
    </row>
    <row r="142" spans="1:11" x14ac:dyDescent="0.3">
      <c r="A142" t="s">
        <v>12</v>
      </c>
      <c r="B142">
        <v>6</v>
      </c>
      <c r="C142">
        <v>24</v>
      </c>
      <c r="D142">
        <v>42495.718261718801</v>
      </c>
      <c r="E142">
        <v>0</v>
      </c>
      <c r="F142">
        <v>2026.3</v>
      </c>
      <c r="G142" t="s">
        <v>8</v>
      </c>
      <c r="H142">
        <v>300</v>
      </c>
      <c r="I142">
        <f t="shared" si="21"/>
        <v>0.99943555599657852</v>
      </c>
      <c r="J142" s="6">
        <f t="shared" si="21"/>
        <v>0</v>
      </c>
      <c r="K142" s="2">
        <f>(J142*$N$3)/$N$2</f>
        <v>0</v>
      </c>
    </row>
    <row r="143" spans="1:11" x14ac:dyDescent="0.3">
      <c r="A143" t="s">
        <v>12</v>
      </c>
      <c r="B143">
        <v>2001</v>
      </c>
      <c r="C143">
        <v>2</v>
      </c>
      <c r="D143">
        <v>0</v>
      </c>
      <c r="E143">
        <v>0</v>
      </c>
      <c r="F143">
        <v>2040.64</v>
      </c>
    </row>
    <row r="144" spans="1:11" x14ac:dyDescent="0.3">
      <c r="A144" t="s">
        <v>12</v>
      </c>
      <c r="B144">
        <v>2001</v>
      </c>
      <c r="C144">
        <v>3</v>
      </c>
      <c r="D144">
        <v>0</v>
      </c>
      <c r="E144">
        <v>0</v>
      </c>
      <c r="F144">
        <v>2054.92</v>
      </c>
    </row>
    <row r="145" spans="1:6" x14ac:dyDescent="0.3">
      <c r="A145" t="s">
        <v>12</v>
      </c>
      <c r="B145">
        <v>2001</v>
      </c>
      <c r="C145">
        <v>2</v>
      </c>
      <c r="D145">
        <v>0</v>
      </c>
      <c r="E145">
        <v>0</v>
      </c>
      <c r="F145">
        <v>2069.2399999999998</v>
      </c>
    </row>
    <row r="146" spans="1:6" x14ac:dyDescent="0.3">
      <c r="A146" t="s">
        <v>12</v>
      </c>
      <c r="B146">
        <v>2001</v>
      </c>
      <c r="C146">
        <v>3</v>
      </c>
      <c r="D146">
        <v>0</v>
      </c>
      <c r="E146">
        <v>0</v>
      </c>
      <c r="F146">
        <v>2083.58</v>
      </c>
    </row>
    <row r="147" spans="1:6" x14ac:dyDescent="0.3">
      <c r="A147" t="s">
        <v>12</v>
      </c>
      <c r="B147">
        <v>2001</v>
      </c>
      <c r="C147">
        <v>2</v>
      </c>
      <c r="D147">
        <v>0</v>
      </c>
      <c r="E147">
        <v>0</v>
      </c>
      <c r="F147">
        <v>2097.87</v>
      </c>
    </row>
    <row r="148" spans="1:6" x14ac:dyDescent="0.3">
      <c r="A148" t="s">
        <v>12</v>
      </c>
      <c r="B148">
        <v>2001</v>
      </c>
      <c r="C148">
        <v>3</v>
      </c>
      <c r="D148">
        <v>0</v>
      </c>
      <c r="E148">
        <v>0</v>
      </c>
      <c r="F148">
        <v>2112.06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7C5F-BD72-449C-9B15-04505BF7789B}">
  <dimension ref="A1:S148"/>
  <sheetViews>
    <sheetView topLeftCell="J1" workbookViewId="0">
      <selection activeCell="N9" sqref="N9:O19"/>
    </sheetView>
  </sheetViews>
  <sheetFormatPr defaultRowHeight="14.4" x14ac:dyDescent="0.3"/>
  <cols>
    <col min="10" max="10" width="8.88671875" style="6"/>
    <col min="14" max="15" width="9.33203125" bestFit="1" customWidth="1"/>
    <col min="19" max="19" width="9.33203125" bestFit="1" customWidth="1"/>
  </cols>
  <sheetData>
    <row r="1" spans="1:19" x14ac:dyDescent="0.3">
      <c r="A1" t="s">
        <v>0</v>
      </c>
    </row>
    <row r="2" spans="1:19" x14ac:dyDescent="0.3">
      <c r="A2" t="s">
        <v>1</v>
      </c>
      <c r="B2" t="s">
        <v>2</v>
      </c>
      <c r="C2" t="s">
        <v>3</v>
      </c>
      <c r="D2">
        <v>1442.73</v>
      </c>
      <c r="E2">
        <v>1474.73</v>
      </c>
      <c r="F2" t="s">
        <v>4</v>
      </c>
      <c r="G2" t="s">
        <v>6</v>
      </c>
      <c r="H2" t="s">
        <v>10</v>
      </c>
      <c r="I2" t="s">
        <v>19</v>
      </c>
      <c r="J2" s="6" t="s">
        <v>23</v>
      </c>
      <c r="K2" t="s">
        <v>16</v>
      </c>
      <c r="M2" t="s">
        <v>17</v>
      </c>
      <c r="N2" s="2">
        <v>3.8700000000000002E-3</v>
      </c>
    </row>
    <row r="3" spans="1:19" x14ac:dyDescent="0.3">
      <c r="A3" t="s">
        <v>5</v>
      </c>
      <c r="B3">
        <v>2001</v>
      </c>
      <c r="C3">
        <v>2</v>
      </c>
      <c r="D3">
        <v>0</v>
      </c>
      <c r="E3">
        <v>0</v>
      </c>
      <c r="F3">
        <v>7.17</v>
      </c>
      <c r="M3" t="s">
        <v>18</v>
      </c>
      <c r="N3" s="2">
        <v>8.9999999999999993E-3</v>
      </c>
    </row>
    <row r="4" spans="1:19" x14ac:dyDescent="0.3">
      <c r="A4" t="s">
        <v>5</v>
      </c>
      <c r="B4">
        <v>2001</v>
      </c>
      <c r="C4">
        <v>3</v>
      </c>
      <c r="D4">
        <v>0</v>
      </c>
      <c r="E4">
        <v>0</v>
      </c>
      <c r="F4">
        <v>21.47</v>
      </c>
    </row>
    <row r="5" spans="1:19" x14ac:dyDescent="0.3">
      <c r="A5" t="s">
        <v>5</v>
      </c>
      <c r="B5">
        <v>2001</v>
      </c>
      <c r="C5">
        <v>2</v>
      </c>
      <c r="D5">
        <v>0</v>
      </c>
      <c r="E5">
        <v>0</v>
      </c>
      <c r="F5">
        <v>35.770000000000003</v>
      </c>
    </row>
    <row r="6" spans="1:19" x14ac:dyDescent="0.3">
      <c r="A6" t="s">
        <v>5</v>
      </c>
      <c r="B6">
        <v>2001</v>
      </c>
      <c r="C6">
        <v>3</v>
      </c>
      <c r="D6">
        <v>0</v>
      </c>
      <c r="E6">
        <v>0</v>
      </c>
      <c r="F6">
        <v>50.07</v>
      </c>
    </row>
    <row r="7" spans="1:19" ht="15.6" x14ac:dyDescent="0.3">
      <c r="A7" t="s">
        <v>5</v>
      </c>
      <c r="B7">
        <v>16</v>
      </c>
      <c r="C7">
        <v>14</v>
      </c>
      <c r="D7">
        <v>11970464.3208008</v>
      </c>
      <c r="E7">
        <v>0</v>
      </c>
      <c r="F7">
        <v>64.94</v>
      </c>
      <c r="G7" t="s">
        <v>7</v>
      </c>
      <c r="H7">
        <v>0</v>
      </c>
      <c r="I7">
        <f t="shared" ref="I7:J9" si="0">D7/(C7+D7)</f>
        <v>0.99999883045609161</v>
      </c>
      <c r="J7" s="6">
        <f t="shared" si="0"/>
        <v>0</v>
      </c>
      <c r="K7" s="2">
        <f>(J7*$N$3)/$N$2</f>
        <v>0</v>
      </c>
      <c r="M7" s="3"/>
      <c r="N7" s="4" t="s">
        <v>20</v>
      </c>
      <c r="O7" s="3"/>
      <c r="Q7" s="3"/>
      <c r="R7" s="4" t="s">
        <v>20</v>
      </c>
      <c r="S7" s="3"/>
    </row>
    <row r="8" spans="1:19" ht="15.6" x14ac:dyDescent="0.3">
      <c r="A8" t="s">
        <v>5</v>
      </c>
      <c r="B8">
        <v>16</v>
      </c>
      <c r="C8">
        <v>16</v>
      </c>
      <c r="D8">
        <v>13256746.3164063</v>
      </c>
      <c r="E8">
        <v>0</v>
      </c>
      <c r="F8">
        <v>79.790000000000006</v>
      </c>
      <c r="G8" t="s">
        <v>7</v>
      </c>
      <c r="H8">
        <v>0</v>
      </c>
      <c r="I8">
        <f t="shared" si="0"/>
        <v>0.99999879306880379</v>
      </c>
      <c r="J8" s="6">
        <f t="shared" si="0"/>
        <v>0</v>
      </c>
      <c r="K8" s="2">
        <f>(J8*$N$3)/$N$2</f>
        <v>0</v>
      </c>
      <c r="M8" s="4" t="s">
        <v>21</v>
      </c>
      <c r="N8" s="4" t="s">
        <v>16</v>
      </c>
      <c r="O8" s="3" t="s">
        <v>22</v>
      </c>
      <c r="Q8" s="4" t="s">
        <v>21</v>
      </c>
      <c r="R8" s="4" t="s">
        <v>23</v>
      </c>
      <c r="S8" s="3" t="s">
        <v>22</v>
      </c>
    </row>
    <row r="9" spans="1:19" ht="15.6" x14ac:dyDescent="0.3">
      <c r="A9" t="s">
        <v>5</v>
      </c>
      <c r="B9">
        <v>16</v>
      </c>
      <c r="C9">
        <v>18</v>
      </c>
      <c r="D9">
        <v>12951928.146484399</v>
      </c>
      <c r="E9">
        <v>0</v>
      </c>
      <c r="F9">
        <v>94.73</v>
      </c>
      <c r="G9" t="s">
        <v>7</v>
      </c>
      <c r="H9">
        <v>0</v>
      </c>
      <c r="I9">
        <f t="shared" si="0"/>
        <v>0.99999861024746428</v>
      </c>
      <c r="J9" s="6">
        <f t="shared" si="0"/>
        <v>0</v>
      </c>
      <c r="K9" s="2">
        <f>(J9*$N$3)/$N$2</f>
        <v>0</v>
      </c>
      <c r="M9" s="3">
        <v>0</v>
      </c>
      <c r="N9" s="5">
        <f>AVERAGE(K7:K9)</f>
        <v>0</v>
      </c>
      <c r="O9" s="5">
        <f>STDEV(K7:K9)</f>
        <v>0</v>
      </c>
      <c r="Q9" s="3">
        <v>0</v>
      </c>
      <c r="R9" s="7">
        <f>AVERAGE(J7:J9)</f>
        <v>0</v>
      </c>
      <c r="S9" s="5">
        <f>STDEV(J7:J9)</f>
        <v>0</v>
      </c>
    </row>
    <row r="10" spans="1:19" ht="15.6" x14ac:dyDescent="0.3">
      <c r="A10" t="s">
        <v>5</v>
      </c>
      <c r="B10">
        <v>2001</v>
      </c>
      <c r="C10">
        <v>2</v>
      </c>
      <c r="D10">
        <v>0</v>
      </c>
      <c r="E10">
        <v>0</v>
      </c>
      <c r="F10">
        <v>109.18</v>
      </c>
      <c r="M10" s="3">
        <v>0.5</v>
      </c>
      <c r="N10" s="5">
        <f>AVERAGE(K19:K21)</f>
        <v>0</v>
      </c>
      <c r="O10" s="5">
        <f>STDEV(K19:K21)</f>
        <v>0</v>
      </c>
      <c r="Q10" s="3">
        <v>0.5</v>
      </c>
      <c r="R10" s="7">
        <f>AVERAGE(J19:J21)</f>
        <v>0</v>
      </c>
      <c r="S10" s="5">
        <f>STDEV(J19:J21)</f>
        <v>0</v>
      </c>
    </row>
    <row r="11" spans="1:19" ht="15.6" x14ac:dyDescent="0.3">
      <c r="A11" t="s">
        <v>5</v>
      </c>
      <c r="B11">
        <v>2001</v>
      </c>
      <c r="C11">
        <v>3</v>
      </c>
      <c r="D11">
        <v>0</v>
      </c>
      <c r="E11">
        <v>0</v>
      </c>
      <c r="F11">
        <v>123.37</v>
      </c>
      <c r="M11" s="3">
        <v>1</v>
      </c>
      <c r="N11" s="5">
        <f>AVERAGE(K31:K33)</f>
        <v>0</v>
      </c>
      <c r="O11" s="5">
        <f>STDEV(K31:K33)</f>
        <v>0</v>
      </c>
      <c r="Q11" s="3">
        <v>1</v>
      </c>
      <c r="R11" s="7">
        <f>AVERAGE(J31:J33)</f>
        <v>0</v>
      </c>
      <c r="S11" s="5">
        <f>STDEV(J31:J33)</f>
        <v>0</v>
      </c>
    </row>
    <row r="12" spans="1:19" ht="15.6" x14ac:dyDescent="0.3">
      <c r="A12" t="s">
        <v>5</v>
      </c>
      <c r="B12">
        <v>16</v>
      </c>
      <c r="C12">
        <v>20</v>
      </c>
      <c r="D12">
        <v>16255216.7382813</v>
      </c>
      <c r="E12">
        <v>0</v>
      </c>
      <c r="F12">
        <v>138.35</v>
      </c>
      <c r="G12" t="s">
        <v>8</v>
      </c>
      <c r="H12">
        <v>0</v>
      </c>
      <c r="I12">
        <f t="shared" ref="I12:J14" si="1">D12/(C12+D12)</f>
        <v>0.99999876962727019</v>
      </c>
      <c r="J12" s="6">
        <f t="shared" si="1"/>
        <v>0</v>
      </c>
      <c r="K12" s="2">
        <f>(J12*$N$3)/$N$2</f>
        <v>0</v>
      </c>
      <c r="M12" s="3">
        <v>1.5</v>
      </c>
      <c r="N12" s="5">
        <f>AVERAGE(K43:K45)</f>
        <v>0</v>
      </c>
      <c r="O12" s="5">
        <f>STDEV(K43:K45)</f>
        <v>0</v>
      </c>
      <c r="Q12" s="3">
        <v>1.5</v>
      </c>
      <c r="R12" s="7">
        <f>AVERAGE(J43:J45)</f>
        <v>0</v>
      </c>
      <c r="S12" s="5">
        <f>STDEV(J43:J45)</f>
        <v>0</v>
      </c>
    </row>
    <row r="13" spans="1:19" ht="15.6" x14ac:dyDescent="0.3">
      <c r="A13" t="s">
        <v>5</v>
      </c>
      <c r="B13">
        <v>16</v>
      </c>
      <c r="C13">
        <v>22</v>
      </c>
      <c r="D13">
        <v>15701321.818359399</v>
      </c>
      <c r="E13">
        <v>0</v>
      </c>
      <c r="F13">
        <v>153.19</v>
      </c>
      <c r="G13" t="s">
        <v>8</v>
      </c>
      <c r="H13">
        <v>0</v>
      </c>
      <c r="I13">
        <f t="shared" si="1"/>
        <v>0.99999859884604436</v>
      </c>
      <c r="J13" s="6">
        <f t="shared" si="1"/>
        <v>0</v>
      </c>
      <c r="K13" s="2">
        <f>(J13*$N$3)/$N$2</f>
        <v>0</v>
      </c>
      <c r="M13" s="3">
        <v>3</v>
      </c>
      <c r="N13" s="5">
        <f>AVERAGE(K55:K57)</f>
        <v>0</v>
      </c>
      <c r="O13" s="5">
        <f>STDEV(K55:K57)</f>
        <v>0</v>
      </c>
      <c r="Q13" s="3">
        <v>3</v>
      </c>
      <c r="R13" s="7">
        <f>AVERAGE(J55:J57)</f>
        <v>0</v>
      </c>
      <c r="S13" s="5">
        <f>STDEV(J55:J57)</f>
        <v>0</v>
      </c>
    </row>
    <row r="14" spans="1:19" ht="15.6" x14ac:dyDescent="0.3">
      <c r="A14" t="s">
        <v>5</v>
      </c>
      <c r="B14">
        <v>16</v>
      </c>
      <c r="C14">
        <v>24</v>
      </c>
      <c r="D14">
        <v>15785401.5</v>
      </c>
      <c r="E14">
        <v>0</v>
      </c>
      <c r="F14">
        <v>168.16</v>
      </c>
      <c r="G14" t="s">
        <v>8</v>
      </c>
      <c r="H14">
        <v>0</v>
      </c>
      <c r="I14">
        <f t="shared" si="1"/>
        <v>0.99999847961019483</v>
      </c>
      <c r="J14" s="6">
        <f t="shared" si="1"/>
        <v>0</v>
      </c>
      <c r="K14" s="2">
        <f>(J14*$N$3)/$N$2</f>
        <v>0</v>
      </c>
      <c r="M14" s="3">
        <v>5</v>
      </c>
      <c r="N14" s="5">
        <f>AVERAGE(K67:K69)</f>
        <v>0</v>
      </c>
      <c r="O14" s="5">
        <f>STDEV(K67:K69)</f>
        <v>0</v>
      </c>
      <c r="Q14" s="3">
        <v>5</v>
      </c>
      <c r="R14" s="7">
        <f>AVERAGE(J67:J69)</f>
        <v>0</v>
      </c>
      <c r="S14" s="5">
        <f>STDEV(J67:J69)</f>
        <v>0</v>
      </c>
    </row>
    <row r="15" spans="1:19" ht="15.6" x14ac:dyDescent="0.3">
      <c r="A15" t="s">
        <v>5</v>
      </c>
      <c r="B15">
        <v>2001</v>
      </c>
      <c r="C15">
        <v>2</v>
      </c>
      <c r="D15">
        <v>0</v>
      </c>
      <c r="E15">
        <v>0</v>
      </c>
      <c r="F15">
        <v>182.49</v>
      </c>
      <c r="M15" s="3">
        <v>10</v>
      </c>
      <c r="N15" s="5">
        <f>AVERAGE(K79:K81)</f>
        <v>0</v>
      </c>
      <c r="O15" s="5">
        <f>STDEV(K79:K81)</f>
        <v>0</v>
      </c>
      <c r="Q15" s="3">
        <v>10</v>
      </c>
      <c r="R15" s="7">
        <f>AVERAGE(J79:J81)</f>
        <v>0</v>
      </c>
      <c r="S15" s="5">
        <f>STDEV(J79:J81)</f>
        <v>0</v>
      </c>
    </row>
    <row r="16" spans="1:19" ht="15.6" x14ac:dyDescent="0.3">
      <c r="A16" t="s">
        <v>5</v>
      </c>
      <c r="B16">
        <v>2001</v>
      </c>
      <c r="C16">
        <v>3</v>
      </c>
      <c r="D16">
        <v>0</v>
      </c>
      <c r="E16">
        <v>0</v>
      </c>
      <c r="F16">
        <v>196.66</v>
      </c>
      <c r="M16" s="3">
        <v>20</v>
      </c>
      <c r="N16" s="5">
        <f>AVERAGE(K91:K93)</f>
        <v>0</v>
      </c>
      <c r="O16" s="5">
        <f>STDEV(K91:K93)</f>
        <v>0</v>
      </c>
      <c r="Q16" s="3">
        <v>20</v>
      </c>
      <c r="R16" s="7">
        <f>AVERAGE(J91:J93)</f>
        <v>0</v>
      </c>
      <c r="S16" s="5">
        <f>STDEV(J91:J93)</f>
        <v>0</v>
      </c>
    </row>
    <row r="17" spans="1:19" ht="15.6" x14ac:dyDescent="0.3">
      <c r="A17" t="s">
        <v>5</v>
      </c>
      <c r="B17">
        <v>2001</v>
      </c>
      <c r="C17">
        <v>2</v>
      </c>
      <c r="D17">
        <v>0</v>
      </c>
      <c r="E17">
        <v>0</v>
      </c>
      <c r="F17">
        <v>211.1</v>
      </c>
      <c r="M17" s="3">
        <v>40</v>
      </c>
      <c r="N17" s="5">
        <f>AVERAGE(K103:K105)</f>
        <v>0</v>
      </c>
      <c r="O17" s="5">
        <f>STDEV(K105:K107)</f>
        <v>0</v>
      </c>
      <c r="Q17" s="3">
        <v>40</v>
      </c>
      <c r="R17" s="7">
        <f>AVERAGE(J103:J105)</f>
        <v>0</v>
      </c>
      <c r="S17" s="5">
        <f>STDEV(J105:J107)</f>
        <v>0</v>
      </c>
    </row>
    <row r="18" spans="1:19" ht="15.6" x14ac:dyDescent="0.3">
      <c r="A18" t="s">
        <v>5</v>
      </c>
      <c r="B18">
        <v>2001</v>
      </c>
      <c r="C18">
        <v>3</v>
      </c>
      <c r="D18">
        <v>0</v>
      </c>
      <c r="E18">
        <v>0</v>
      </c>
      <c r="F18">
        <v>225.4</v>
      </c>
      <c r="M18" s="3">
        <v>60</v>
      </c>
      <c r="N18" s="5">
        <f>AVERAGE(K119:K121)</f>
        <v>0</v>
      </c>
      <c r="O18" s="5">
        <f>STDEV(K119:K121)</f>
        <v>0</v>
      </c>
      <c r="Q18" s="3">
        <v>60</v>
      </c>
      <c r="R18" s="7">
        <f>AVERAGE(J119:J121)</f>
        <v>0</v>
      </c>
      <c r="S18" s="5">
        <f>STDEV(J119:J121)</f>
        <v>0</v>
      </c>
    </row>
    <row r="19" spans="1:19" ht="15.6" x14ac:dyDescent="0.3">
      <c r="A19" t="s">
        <v>5</v>
      </c>
      <c r="B19">
        <v>15</v>
      </c>
      <c r="C19">
        <v>14</v>
      </c>
      <c r="D19">
        <v>1846183.609375</v>
      </c>
      <c r="E19">
        <v>0</v>
      </c>
      <c r="F19">
        <v>240.36</v>
      </c>
      <c r="G19" t="s">
        <v>7</v>
      </c>
      <c r="H19">
        <v>0.5</v>
      </c>
      <c r="I19">
        <f t="shared" ref="I19:J21" si="2">D19/(C19+D19)</f>
        <v>0.99999241684642592</v>
      </c>
      <c r="J19" s="6">
        <f t="shared" si="2"/>
        <v>0</v>
      </c>
      <c r="K19" s="2">
        <f>(J19*$N$3)/$N$2</f>
        <v>0</v>
      </c>
      <c r="M19" s="3">
        <v>300</v>
      </c>
      <c r="N19" s="5">
        <f>AVERAGE(K133:K134)</f>
        <v>0.13197958406261609</v>
      </c>
      <c r="O19" s="5">
        <f>STDEV(K133:K134)</f>
        <v>5.6393232746721226E-3</v>
      </c>
      <c r="Q19" s="3">
        <v>300</v>
      </c>
      <c r="R19" s="7">
        <f>AVERAGE(J133:J134)</f>
        <v>5.6751221146924928E-2</v>
      </c>
      <c r="S19" s="5">
        <f>STDEV(J133:J134)</f>
        <v>2.4249090081090098E-3</v>
      </c>
    </row>
    <row r="20" spans="1:19" x14ac:dyDescent="0.3">
      <c r="A20" t="s">
        <v>5</v>
      </c>
      <c r="B20">
        <v>15</v>
      </c>
      <c r="C20">
        <v>16</v>
      </c>
      <c r="D20">
        <v>3560905.8300781301</v>
      </c>
      <c r="E20">
        <v>0</v>
      </c>
      <c r="F20">
        <v>255.19</v>
      </c>
      <c r="G20" t="s">
        <v>7</v>
      </c>
      <c r="H20">
        <v>0.5</v>
      </c>
      <c r="I20">
        <f t="shared" si="2"/>
        <v>0.99999550678145621</v>
      </c>
      <c r="J20" s="6">
        <f t="shared" si="2"/>
        <v>0</v>
      </c>
      <c r="K20" s="2">
        <f>(J20*$N$3)/$N$2</f>
        <v>0</v>
      </c>
    </row>
    <row r="21" spans="1:19" x14ac:dyDescent="0.3">
      <c r="A21" t="s">
        <v>5</v>
      </c>
      <c r="B21">
        <v>15</v>
      </c>
      <c r="C21">
        <v>18</v>
      </c>
      <c r="D21">
        <v>5448957.92724609</v>
      </c>
      <c r="E21">
        <v>0</v>
      </c>
      <c r="F21">
        <v>270.05</v>
      </c>
      <c r="G21" t="s">
        <v>7</v>
      </c>
      <c r="H21">
        <v>0.5</v>
      </c>
      <c r="I21">
        <f t="shared" si="2"/>
        <v>0.99999669662699187</v>
      </c>
      <c r="J21" s="6">
        <f t="shared" si="2"/>
        <v>0</v>
      </c>
      <c r="K21" s="2">
        <f>(J21*$N$3)/$N$2</f>
        <v>0</v>
      </c>
    </row>
    <row r="22" spans="1:19" x14ac:dyDescent="0.3">
      <c r="A22" t="s">
        <v>5</v>
      </c>
      <c r="B22">
        <v>2001</v>
      </c>
      <c r="C22">
        <v>2</v>
      </c>
      <c r="D22">
        <v>0</v>
      </c>
      <c r="E22">
        <v>0</v>
      </c>
      <c r="F22">
        <v>284.51</v>
      </c>
    </row>
    <row r="23" spans="1:19" x14ac:dyDescent="0.3">
      <c r="A23" t="s">
        <v>5</v>
      </c>
      <c r="B23">
        <v>2001</v>
      </c>
      <c r="C23">
        <v>3</v>
      </c>
      <c r="D23">
        <v>0</v>
      </c>
      <c r="E23">
        <v>0</v>
      </c>
      <c r="F23">
        <v>298.69</v>
      </c>
    </row>
    <row r="24" spans="1:19" x14ac:dyDescent="0.3">
      <c r="A24" t="s">
        <v>5</v>
      </c>
      <c r="B24">
        <v>15</v>
      </c>
      <c r="C24">
        <v>20</v>
      </c>
      <c r="D24">
        <v>10841690.200683599</v>
      </c>
      <c r="E24">
        <v>0</v>
      </c>
      <c r="F24">
        <v>313.66000000000003</v>
      </c>
      <c r="G24" t="s">
        <v>8</v>
      </c>
      <c r="H24">
        <v>0.5</v>
      </c>
      <c r="I24">
        <f t="shared" ref="I24:J26" si="3">D24/(C24+D24)</f>
        <v>0.99999815527258806</v>
      </c>
      <c r="J24" s="6">
        <f t="shared" si="3"/>
        <v>0</v>
      </c>
      <c r="K24" s="2">
        <f>(J24*$N$3)/$N$2</f>
        <v>0</v>
      </c>
    </row>
    <row r="25" spans="1:19" x14ac:dyDescent="0.3">
      <c r="A25" t="s">
        <v>5</v>
      </c>
      <c r="B25">
        <v>15</v>
      </c>
      <c r="C25">
        <v>22</v>
      </c>
      <c r="D25">
        <v>8162732.19921875</v>
      </c>
      <c r="E25">
        <v>0</v>
      </c>
      <c r="F25">
        <v>328.48</v>
      </c>
      <c r="G25" t="s">
        <v>8</v>
      </c>
      <c r="H25">
        <v>0.5</v>
      </c>
      <c r="I25">
        <f t="shared" si="3"/>
        <v>0.99999730483125393</v>
      </c>
      <c r="J25" s="6">
        <f t="shared" si="3"/>
        <v>0</v>
      </c>
      <c r="K25" s="2">
        <f>(J25*$N$3)/$N$2</f>
        <v>0</v>
      </c>
    </row>
    <row r="26" spans="1:19" x14ac:dyDescent="0.3">
      <c r="A26" t="s">
        <v>5</v>
      </c>
      <c r="B26">
        <v>15</v>
      </c>
      <c r="C26">
        <v>24</v>
      </c>
      <c r="D26">
        <v>11162048.8369141</v>
      </c>
      <c r="E26">
        <v>0</v>
      </c>
      <c r="F26">
        <v>343.42</v>
      </c>
      <c r="G26" t="s">
        <v>8</v>
      </c>
      <c r="H26">
        <v>0.5</v>
      </c>
      <c r="I26">
        <f t="shared" si="3"/>
        <v>0.99999784986172813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5</v>
      </c>
      <c r="B27">
        <v>2001</v>
      </c>
      <c r="C27">
        <v>2</v>
      </c>
      <c r="D27">
        <v>0</v>
      </c>
      <c r="E27">
        <v>0</v>
      </c>
      <c r="F27">
        <v>357.84</v>
      </c>
    </row>
    <row r="28" spans="1:19" x14ac:dyDescent="0.3">
      <c r="A28" t="s">
        <v>5</v>
      </c>
      <c r="B28">
        <v>2001</v>
      </c>
      <c r="C28">
        <v>3</v>
      </c>
      <c r="D28">
        <v>0</v>
      </c>
      <c r="E28">
        <v>0</v>
      </c>
      <c r="F28">
        <v>372.02</v>
      </c>
    </row>
    <row r="29" spans="1:19" x14ac:dyDescent="0.3">
      <c r="A29" t="s">
        <v>5</v>
      </c>
      <c r="B29">
        <v>2001</v>
      </c>
      <c r="C29">
        <v>2</v>
      </c>
      <c r="D29">
        <v>0</v>
      </c>
      <c r="E29">
        <v>0</v>
      </c>
      <c r="F29">
        <v>386.47</v>
      </c>
    </row>
    <row r="30" spans="1:19" x14ac:dyDescent="0.3">
      <c r="A30" t="s">
        <v>5</v>
      </c>
      <c r="B30">
        <v>2001</v>
      </c>
      <c r="C30">
        <v>3</v>
      </c>
      <c r="D30">
        <v>0</v>
      </c>
      <c r="E30">
        <v>0</v>
      </c>
      <c r="F30">
        <v>400.66</v>
      </c>
    </row>
    <row r="31" spans="1:19" x14ac:dyDescent="0.3">
      <c r="A31" t="s">
        <v>5</v>
      </c>
      <c r="B31">
        <v>14</v>
      </c>
      <c r="C31">
        <v>14</v>
      </c>
      <c r="D31">
        <v>1909462.2412109401</v>
      </c>
      <c r="E31">
        <v>0</v>
      </c>
      <c r="F31">
        <v>415.49</v>
      </c>
      <c r="G31" t="s">
        <v>7</v>
      </c>
      <c r="H31">
        <v>1</v>
      </c>
      <c r="I31">
        <f t="shared" ref="I31:J33" si="4">D31/(C31+D31)</f>
        <v>0.99999266814653265</v>
      </c>
      <c r="J31" s="6">
        <f t="shared" si="4"/>
        <v>0</v>
      </c>
      <c r="K31" s="2">
        <f>(J31*$N$3)/$N$2</f>
        <v>0</v>
      </c>
    </row>
    <row r="32" spans="1:19" x14ac:dyDescent="0.3">
      <c r="A32" t="s">
        <v>5</v>
      </c>
      <c r="B32">
        <v>14</v>
      </c>
      <c r="C32">
        <v>16</v>
      </c>
      <c r="D32">
        <v>2308409.9453125</v>
      </c>
      <c r="E32">
        <v>0</v>
      </c>
      <c r="F32">
        <v>430.47</v>
      </c>
      <c r="G32" t="s">
        <v>7</v>
      </c>
      <c r="H32">
        <v>1</v>
      </c>
      <c r="I32">
        <f t="shared" si="4"/>
        <v>0.99999306887013961</v>
      </c>
      <c r="J32" s="6">
        <f t="shared" si="4"/>
        <v>0</v>
      </c>
      <c r="K32" s="2">
        <f>(J32*$N$3)/$N$2</f>
        <v>0</v>
      </c>
    </row>
    <row r="33" spans="1:11" x14ac:dyDescent="0.3">
      <c r="A33" t="s">
        <v>5</v>
      </c>
      <c r="B33">
        <v>14</v>
      </c>
      <c r="C33">
        <v>18</v>
      </c>
      <c r="D33">
        <v>5640183.2412109403</v>
      </c>
      <c r="E33">
        <v>0</v>
      </c>
      <c r="F33">
        <v>445.31</v>
      </c>
      <c r="G33" t="s">
        <v>7</v>
      </c>
      <c r="H33">
        <v>1</v>
      </c>
      <c r="I33">
        <f t="shared" si="4"/>
        <v>0.99999680862451001</v>
      </c>
      <c r="J33" s="6">
        <f t="shared" si="4"/>
        <v>0</v>
      </c>
      <c r="K33" s="2">
        <f>(J33*$N$3)/$N$2</f>
        <v>0</v>
      </c>
    </row>
    <row r="34" spans="1:11" x14ac:dyDescent="0.3">
      <c r="A34" t="s">
        <v>5</v>
      </c>
      <c r="B34">
        <v>2001</v>
      </c>
      <c r="C34">
        <v>2</v>
      </c>
      <c r="D34">
        <v>0</v>
      </c>
      <c r="E34">
        <v>0</v>
      </c>
      <c r="F34">
        <v>459.78</v>
      </c>
    </row>
    <row r="35" spans="1:11" x14ac:dyDescent="0.3">
      <c r="A35" t="s">
        <v>5</v>
      </c>
      <c r="B35">
        <v>2001</v>
      </c>
      <c r="C35">
        <v>3</v>
      </c>
      <c r="D35">
        <v>0</v>
      </c>
      <c r="E35">
        <v>0</v>
      </c>
      <c r="F35">
        <v>473.99</v>
      </c>
    </row>
    <row r="36" spans="1:11" x14ac:dyDescent="0.3">
      <c r="A36" t="s">
        <v>5</v>
      </c>
      <c r="B36">
        <v>14</v>
      </c>
      <c r="C36">
        <v>20</v>
      </c>
      <c r="D36">
        <v>10633655.7646484</v>
      </c>
      <c r="E36">
        <v>0</v>
      </c>
      <c r="F36">
        <v>488.91</v>
      </c>
      <c r="G36" t="s">
        <v>8</v>
      </c>
      <c r="H36">
        <v>1</v>
      </c>
      <c r="I36">
        <f t="shared" ref="I36:J38" si="5">D36/(C36+D36)</f>
        <v>0.99999811918282611</v>
      </c>
      <c r="J36" s="6">
        <f t="shared" si="5"/>
        <v>0</v>
      </c>
      <c r="K36" s="2">
        <f>(J36*$N$3)/$N$2</f>
        <v>0</v>
      </c>
    </row>
    <row r="37" spans="1:11" x14ac:dyDescent="0.3">
      <c r="A37" t="s">
        <v>5</v>
      </c>
      <c r="B37">
        <v>14</v>
      </c>
      <c r="C37">
        <v>22</v>
      </c>
      <c r="D37">
        <v>11592515.423828101</v>
      </c>
      <c r="E37">
        <v>0</v>
      </c>
      <c r="F37">
        <v>503.76</v>
      </c>
      <c r="G37" t="s">
        <v>8</v>
      </c>
      <c r="H37">
        <v>1</v>
      </c>
      <c r="I37">
        <f t="shared" si="5"/>
        <v>0.99999810222739027</v>
      </c>
      <c r="J37" s="6">
        <f t="shared" si="5"/>
        <v>0</v>
      </c>
      <c r="K37" s="2">
        <f>(J37*$N$3)/$N$2</f>
        <v>0</v>
      </c>
    </row>
    <row r="38" spans="1:11" x14ac:dyDescent="0.3">
      <c r="A38" t="s">
        <v>5</v>
      </c>
      <c r="B38">
        <v>14</v>
      </c>
      <c r="C38">
        <v>24</v>
      </c>
      <c r="D38">
        <v>9751235.1796875</v>
      </c>
      <c r="E38">
        <v>0</v>
      </c>
      <c r="F38">
        <v>518.72</v>
      </c>
      <c r="G38" t="s">
        <v>8</v>
      </c>
      <c r="H38">
        <v>1</v>
      </c>
      <c r="I38">
        <f t="shared" si="5"/>
        <v>0.99999753877939679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5</v>
      </c>
      <c r="B39">
        <v>2001</v>
      </c>
      <c r="C39">
        <v>2</v>
      </c>
      <c r="D39">
        <v>0</v>
      </c>
      <c r="E39">
        <v>0</v>
      </c>
      <c r="F39">
        <v>533.03</v>
      </c>
    </row>
    <row r="40" spans="1:11" x14ac:dyDescent="0.3">
      <c r="A40" t="s">
        <v>5</v>
      </c>
      <c r="B40">
        <v>2001</v>
      </c>
      <c r="C40">
        <v>3</v>
      </c>
      <c r="D40">
        <v>0</v>
      </c>
      <c r="E40">
        <v>0</v>
      </c>
      <c r="F40">
        <v>547.35</v>
      </c>
    </row>
    <row r="41" spans="1:11" x14ac:dyDescent="0.3">
      <c r="A41" t="s">
        <v>5</v>
      </c>
      <c r="B41">
        <v>2001</v>
      </c>
      <c r="C41">
        <v>2</v>
      </c>
      <c r="D41">
        <v>0</v>
      </c>
      <c r="E41">
        <v>0</v>
      </c>
      <c r="F41">
        <v>561.62</v>
      </c>
    </row>
    <row r="42" spans="1:11" x14ac:dyDescent="0.3">
      <c r="A42" t="s">
        <v>5</v>
      </c>
      <c r="B42">
        <v>2001</v>
      </c>
      <c r="C42">
        <v>3</v>
      </c>
      <c r="D42">
        <v>0</v>
      </c>
      <c r="E42">
        <v>0</v>
      </c>
      <c r="F42">
        <v>575.84</v>
      </c>
    </row>
    <row r="43" spans="1:11" x14ac:dyDescent="0.3">
      <c r="A43" t="s">
        <v>5</v>
      </c>
      <c r="B43">
        <v>13</v>
      </c>
      <c r="C43">
        <v>14</v>
      </c>
      <c r="D43">
        <v>1856124.6826171901</v>
      </c>
      <c r="E43">
        <v>0</v>
      </c>
      <c r="F43">
        <v>590.72</v>
      </c>
      <c r="G43" t="s">
        <v>7</v>
      </c>
      <c r="H43">
        <v>1.5</v>
      </c>
      <c r="I43">
        <f t="shared" ref="I43:J45" si="6">D43/(C43+D43)</f>
        <v>0.99999245746013965</v>
      </c>
      <c r="J43" s="6">
        <f t="shared" si="6"/>
        <v>0</v>
      </c>
      <c r="K43" s="2">
        <f>(J43*$N$3)/$N$2</f>
        <v>0</v>
      </c>
    </row>
    <row r="44" spans="1:11" x14ac:dyDescent="0.3">
      <c r="A44" t="s">
        <v>5</v>
      </c>
      <c r="B44">
        <v>13</v>
      </c>
      <c r="C44">
        <v>16</v>
      </c>
      <c r="D44">
        <v>1940034.4238281299</v>
      </c>
      <c r="E44">
        <v>0</v>
      </c>
      <c r="F44">
        <v>605.70000000000005</v>
      </c>
      <c r="G44" t="s">
        <v>7</v>
      </c>
      <c r="H44">
        <v>1.5</v>
      </c>
      <c r="I44">
        <f t="shared" si="6"/>
        <v>0.99999175279167829</v>
      </c>
      <c r="J44" s="6">
        <f t="shared" si="6"/>
        <v>0</v>
      </c>
      <c r="K44" s="2">
        <f>(J44*$N$3)/$N$2</f>
        <v>0</v>
      </c>
    </row>
    <row r="45" spans="1:11" x14ac:dyDescent="0.3">
      <c r="A45" t="s">
        <v>5</v>
      </c>
      <c r="B45">
        <v>13</v>
      </c>
      <c r="C45">
        <v>18</v>
      </c>
      <c r="D45">
        <v>8288759.6171875</v>
      </c>
      <c r="E45">
        <v>0</v>
      </c>
      <c r="F45">
        <v>620.55999999999995</v>
      </c>
      <c r="G45" t="s">
        <v>7</v>
      </c>
      <c r="H45">
        <v>1.5</v>
      </c>
      <c r="I45">
        <f t="shared" si="6"/>
        <v>0.99999782838907847</v>
      </c>
      <c r="J45" s="6">
        <f t="shared" si="6"/>
        <v>0</v>
      </c>
      <c r="K45" s="2">
        <f>(J45*$N$3)/$N$2</f>
        <v>0</v>
      </c>
    </row>
    <row r="46" spans="1:11" x14ac:dyDescent="0.3">
      <c r="A46" t="s">
        <v>5</v>
      </c>
      <c r="B46">
        <v>2001</v>
      </c>
      <c r="C46">
        <v>2</v>
      </c>
      <c r="D46">
        <v>0</v>
      </c>
      <c r="E46">
        <v>0</v>
      </c>
      <c r="F46">
        <v>634.99</v>
      </c>
    </row>
    <row r="47" spans="1:11" x14ac:dyDescent="0.3">
      <c r="A47" t="s">
        <v>5</v>
      </c>
      <c r="B47">
        <v>2001</v>
      </c>
      <c r="C47">
        <v>3</v>
      </c>
      <c r="D47">
        <v>0</v>
      </c>
      <c r="E47">
        <v>0</v>
      </c>
      <c r="F47">
        <v>649.04</v>
      </c>
    </row>
    <row r="48" spans="1:11" x14ac:dyDescent="0.3">
      <c r="A48" t="s">
        <v>5</v>
      </c>
      <c r="B48">
        <v>13</v>
      </c>
      <c r="C48">
        <v>20</v>
      </c>
      <c r="D48">
        <v>12656125.396484399</v>
      </c>
      <c r="E48">
        <v>0</v>
      </c>
      <c r="F48">
        <v>663.87</v>
      </c>
      <c r="G48" t="s">
        <v>8</v>
      </c>
      <c r="H48">
        <v>1.5</v>
      </c>
      <c r="I48">
        <f t="shared" ref="I48:J50" si="7">D48/(C48+D48)</f>
        <v>0.99999841974002557</v>
      </c>
      <c r="J48" s="6">
        <f t="shared" si="7"/>
        <v>0</v>
      </c>
      <c r="K48" s="2">
        <f>(J48*$N$3)/$N$2</f>
        <v>0</v>
      </c>
    </row>
    <row r="49" spans="1:11" x14ac:dyDescent="0.3">
      <c r="A49" t="s">
        <v>5</v>
      </c>
      <c r="B49">
        <v>13</v>
      </c>
      <c r="C49">
        <v>22</v>
      </c>
      <c r="D49">
        <v>8902668.45166016</v>
      </c>
      <c r="E49">
        <v>0</v>
      </c>
      <c r="F49">
        <v>678.86</v>
      </c>
      <c r="G49" t="s">
        <v>8</v>
      </c>
      <c r="H49">
        <v>1.5</v>
      </c>
      <c r="I49">
        <f t="shared" si="7"/>
        <v>0.99999752883691517</v>
      </c>
      <c r="J49" s="6">
        <f t="shared" si="7"/>
        <v>0</v>
      </c>
      <c r="K49" s="2">
        <f>(J49*$N$3)/$N$2</f>
        <v>0</v>
      </c>
    </row>
    <row r="50" spans="1:11" x14ac:dyDescent="0.3">
      <c r="A50" t="s">
        <v>5</v>
      </c>
      <c r="B50">
        <v>13</v>
      </c>
      <c r="C50">
        <v>24</v>
      </c>
      <c r="D50">
        <v>9338570.65234375</v>
      </c>
      <c r="E50">
        <v>0</v>
      </c>
      <c r="F50">
        <v>693.7</v>
      </c>
      <c r="G50" t="s">
        <v>8</v>
      </c>
      <c r="H50">
        <v>1.5</v>
      </c>
      <c r="I50">
        <f t="shared" si="7"/>
        <v>0.99999743002015895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5</v>
      </c>
      <c r="B51">
        <v>2001</v>
      </c>
      <c r="C51">
        <v>2</v>
      </c>
      <c r="D51">
        <v>0</v>
      </c>
      <c r="E51">
        <v>0</v>
      </c>
      <c r="F51">
        <v>708.12</v>
      </c>
    </row>
    <row r="52" spans="1:11" x14ac:dyDescent="0.3">
      <c r="A52" t="s">
        <v>5</v>
      </c>
      <c r="B52">
        <v>2001</v>
      </c>
      <c r="C52">
        <v>3</v>
      </c>
      <c r="D52">
        <v>0</v>
      </c>
      <c r="E52">
        <v>0</v>
      </c>
      <c r="F52">
        <v>722.33</v>
      </c>
    </row>
    <row r="53" spans="1:11" x14ac:dyDescent="0.3">
      <c r="A53" t="s">
        <v>5</v>
      </c>
      <c r="B53">
        <v>2001</v>
      </c>
      <c r="C53">
        <v>2</v>
      </c>
      <c r="D53">
        <v>0</v>
      </c>
      <c r="E53">
        <v>0</v>
      </c>
      <c r="F53">
        <v>736.65</v>
      </c>
    </row>
    <row r="54" spans="1:11" x14ac:dyDescent="0.3">
      <c r="A54" t="s">
        <v>5</v>
      </c>
      <c r="B54">
        <v>2001</v>
      </c>
      <c r="C54">
        <v>3</v>
      </c>
      <c r="D54">
        <v>0</v>
      </c>
      <c r="E54">
        <v>0</v>
      </c>
      <c r="F54">
        <v>750.94</v>
      </c>
    </row>
    <row r="55" spans="1:11" x14ac:dyDescent="0.3">
      <c r="A55" t="s">
        <v>5</v>
      </c>
      <c r="B55">
        <v>12</v>
      </c>
      <c r="C55">
        <v>14</v>
      </c>
      <c r="D55">
        <v>1748822.0888671901</v>
      </c>
      <c r="E55">
        <v>0</v>
      </c>
      <c r="F55">
        <v>765.89</v>
      </c>
      <c r="G55" t="s">
        <v>7</v>
      </c>
      <c r="H55">
        <v>3</v>
      </c>
      <c r="I55">
        <f t="shared" ref="I55:J57" si="8">D55/(C55+D55)</f>
        <v>0.99999199467572231</v>
      </c>
      <c r="J55" s="6">
        <f t="shared" si="8"/>
        <v>0</v>
      </c>
      <c r="K55" s="2">
        <f>(J55*$N$3)/$N$2</f>
        <v>0</v>
      </c>
    </row>
    <row r="56" spans="1:11" x14ac:dyDescent="0.3">
      <c r="A56" t="s">
        <v>5</v>
      </c>
      <c r="B56">
        <v>12</v>
      </c>
      <c r="C56">
        <v>16</v>
      </c>
      <c r="D56">
        <v>1832991.1572265599</v>
      </c>
      <c r="E56">
        <v>0</v>
      </c>
      <c r="F56">
        <v>780.8</v>
      </c>
      <c r="G56" t="s">
        <v>7</v>
      </c>
      <c r="H56">
        <v>3</v>
      </c>
      <c r="I56">
        <f t="shared" si="8"/>
        <v>0.99999127117429032</v>
      </c>
      <c r="J56" s="6">
        <f t="shared" si="8"/>
        <v>0</v>
      </c>
      <c r="K56" s="2">
        <f>(J56*$N$3)/$N$2</f>
        <v>0</v>
      </c>
    </row>
    <row r="57" spans="1:11" x14ac:dyDescent="0.3">
      <c r="A57" t="s">
        <v>5</v>
      </c>
      <c r="B57">
        <v>12</v>
      </c>
      <c r="C57">
        <v>18</v>
      </c>
      <c r="D57">
        <v>4061579.8925781301</v>
      </c>
      <c r="E57">
        <v>0</v>
      </c>
      <c r="F57">
        <v>795.62</v>
      </c>
      <c r="G57" t="s">
        <v>7</v>
      </c>
      <c r="H57">
        <v>3</v>
      </c>
      <c r="I57">
        <f t="shared" si="8"/>
        <v>0.99999556824666647</v>
      </c>
      <c r="J57" s="6">
        <f t="shared" si="8"/>
        <v>0</v>
      </c>
      <c r="K57" s="2">
        <f>(J57*$N$3)/$N$2</f>
        <v>0</v>
      </c>
    </row>
    <row r="58" spans="1:11" x14ac:dyDescent="0.3">
      <c r="A58" t="s">
        <v>5</v>
      </c>
      <c r="B58">
        <v>2001</v>
      </c>
      <c r="C58">
        <v>2</v>
      </c>
      <c r="D58">
        <v>0</v>
      </c>
      <c r="E58">
        <v>0</v>
      </c>
      <c r="F58">
        <v>810.03</v>
      </c>
    </row>
    <row r="59" spans="1:11" x14ac:dyDescent="0.3">
      <c r="A59" t="s">
        <v>5</v>
      </c>
      <c r="B59">
        <v>2001</v>
      </c>
      <c r="C59">
        <v>3</v>
      </c>
      <c r="D59">
        <v>0</v>
      </c>
      <c r="E59">
        <v>0</v>
      </c>
      <c r="F59">
        <v>824.2</v>
      </c>
    </row>
    <row r="60" spans="1:11" x14ac:dyDescent="0.3">
      <c r="A60" t="s">
        <v>5</v>
      </c>
      <c r="B60">
        <v>12</v>
      </c>
      <c r="C60">
        <v>20</v>
      </c>
      <c r="D60">
        <v>9605145.2753906306</v>
      </c>
      <c r="E60">
        <v>0</v>
      </c>
      <c r="F60">
        <v>839.2</v>
      </c>
      <c r="G60" t="s">
        <v>8</v>
      </c>
      <c r="H60">
        <v>3</v>
      </c>
      <c r="I60">
        <f t="shared" ref="I60:J62" si="9">D60/(C60+D60)</f>
        <v>0.99999791778700042</v>
      </c>
      <c r="J60" s="6">
        <f t="shared" si="9"/>
        <v>0</v>
      </c>
      <c r="K60" s="2">
        <f>(J60*$N$3)/$N$2</f>
        <v>0</v>
      </c>
    </row>
    <row r="61" spans="1:11" x14ac:dyDescent="0.3">
      <c r="A61" t="s">
        <v>5</v>
      </c>
      <c r="B61">
        <v>12</v>
      </c>
      <c r="C61">
        <v>22</v>
      </c>
      <c r="D61">
        <v>8779029.8964843806</v>
      </c>
      <c r="E61">
        <v>0</v>
      </c>
      <c r="F61">
        <v>854.08</v>
      </c>
      <c r="G61" t="s">
        <v>8</v>
      </c>
      <c r="H61">
        <v>3</v>
      </c>
      <c r="I61">
        <f t="shared" si="9"/>
        <v>0.99999749403463389</v>
      </c>
      <c r="J61" s="6">
        <f t="shared" si="9"/>
        <v>0</v>
      </c>
      <c r="K61" s="2">
        <f>(J61*$N$3)/$N$2</f>
        <v>0</v>
      </c>
    </row>
    <row r="62" spans="1:11" x14ac:dyDescent="0.3">
      <c r="A62" t="s">
        <v>5</v>
      </c>
      <c r="B62">
        <v>12</v>
      </c>
      <c r="C62">
        <v>24</v>
      </c>
      <c r="D62">
        <v>9675485.7841796894</v>
      </c>
      <c r="E62">
        <v>0</v>
      </c>
      <c r="F62">
        <v>868.92</v>
      </c>
      <c r="G62" t="s">
        <v>8</v>
      </c>
      <c r="H62">
        <v>3</v>
      </c>
      <c r="I62">
        <f t="shared" si="9"/>
        <v>0.99999751951054416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5</v>
      </c>
      <c r="B63">
        <v>2001</v>
      </c>
      <c r="C63">
        <v>2</v>
      </c>
      <c r="D63">
        <v>0</v>
      </c>
      <c r="E63">
        <v>0</v>
      </c>
      <c r="F63">
        <v>883.36</v>
      </c>
    </row>
    <row r="64" spans="1:11" x14ac:dyDescent="0.3">
      <c r="A64" t="s">
        <v>5</v>
      </c>
      <c r="B64">
        <v>2001</v>
      </c>
      <c r="C64">
        <v>3</v>
      </c>
      <c r="D64">
        <v>0</v>
      </c>
      <c r="E64">
        <v>0</v>
      </c>
      <c r="F64">
        <v>897.24</v>
      </c>
    </row>
    <row r="65" spans="1:11" x14ac:dyDescent="0.3">
      <c r="A65" t="s">
        <v>5</v>
      </c>
      <c r="B65">
        <v>2001</v>
      </c>
      <c r="C65">
        <v>2</v>
      </c>
      <c r="D65">
        <v>0</v>
      </c>
      <c r="E65">
        <v>0</v>
      </c>
      <c r="F65">
        <v>911.68</v>
      </c>
    </row>
    <row r="66" spans="1:11" x14ac:dyDescent="0.3">
      <c r="A66" t="s">
        <v>5</v>
      </c>
      <c r="B66">
        <v>2001</v>
      </c>
      <c r="C66">
        <v>3</v>
      </c>
      <c r="D66">
        <v>0</v>
      </c>
      <c r="E66">
        <v>0</v>
      </c>
      <c r="F66">
        <v>925.88</v>
      </c>
    </row>
    <row r="67" spans="1:11" x14ac:dyDescent="0.3">
      <c r="A67" t="s">
        <v>5</v>
      </c>
      <c r="B67">
        <v>11</v>
      </c>
      <c r="C67">
        <v>14</v>
      </c>
      <c r="D67">
        <v>1869883.6796875</v>
      </c>
      <c r="E67">
        <v>0</v>
      </c>
      <c r="F67">
        <v>940.72</v>
      </c>
      <c r="G67" t="s">
        <v>7</v>
      </c>
      <c r="H67">
        <v>5</v>
      </c>
      <c r="I67">
        <f t="shared" ref="I67:J69" si="10">D67/(C67+D67)</f>
        <v>0.99999251295931746</v>
      </c>
      <c r="J67" s="6">
        <f t="shared" si="10"/>
        <v>0</v>
      </c>
      <c r="K67" s="2">
        <f>(J67*$N$3)/$N$2</f>
        <v>0</v>
      </c>
    </row>
    <row r="68" spans="1:11" x14ac:dyDescent="0.3">
      <c r="A68" t="s">
        <v>5</v>
      </c>
      <c r="B68">
        <v>11</v>
      </c>
      <c r="C68">
        <v>16</v>
      </c>
      <c r="D68">
        <v>1673029.5629882801</v>
      </c>
      <c r="E68">
        <v>0</v>
      </c>
      <c r="F68">
        <v>955.68</v>
      </c>
      <c r="G68" t="s">
        <v>7</v>
      </c>
      <c r="H68">
        <v>5</v>
      </c>
      <c r="I68">
        <f t="shared" si="10"/>
        <v>0.99999043660235321</v>
      </c>
      <c r="J68" s="6">
        <f t="shared" si="10"/>
        <v>0</v>
      </c>
      <c r="K68" s="2">
        <f>(J68*$N$3)/$N$2</f>
        <v>0</v>
      </c>
    </row>
    <row r="69" spans="1:11" x14ac:dyDescent="0.3">
      <c r="A69" t="s">
        <v>5</v>
      </c>
      <c r="B69">
        <v>11</v>
      </c>
      <c r="C69">
        <v>18</v>
      </c>
      <c r="D69">
        <v>2776322.6738281301</v>
      </c>
      <c r="E69">
        <v>0</v>
      </c>
      <c r="F69">
        <v>970.56</v>
      </c>
      <c r="G69" t="s">
        <v>7</v>
      </c>
      <c r="H69">
        <v>5</v>
      </c>
      <c r="I69">
        <f t="shared" si="10"/>
        <v>0.99999351664578862</v>
      </c>
      <c r="J69" s="6">
        <f t="shared" si="10"/>
        <v>0</v>
      </c>
      <c r="K69" s="2">
        <f>(J69*$N$3)/$N$2</f>
        <v>0</v>
      </c>
    </row>
    <row r="70" spans="1:11" x14ac:dyDescent="0.3">
      <c r="A70" t="s">
        <v>5</v>
      </c>
      <c r="B70">
        <v>2001</v>
      </c>
      <c r="C70">
        <v>2</v>
      </c>
      <c r="D70">
        <v>0</v>
      </c>
      <c r="E70">
        <v>0</v>
      </c>
      <c r="F70">
        <v>984.97</v>
      </c>
    </row>
    <row r="71" spans="1:11" x14ac:dyDescent="0.3">
      <c r="A71" t="s">
        <v>5</v>
      </c>
      <c r="B71">
        <v>2001</v>
      </c>
      <c r="C71">
        <v>3</v>
      </c>
      <c r="D71">
        <v>0</v>
      </c>
      <c r="E71">
        <v>0</v>
      </c>
      <c r="F71">
        <v>999.12</v>
      </c>
    </row>
    <row r="72" spans="1:11" x14ac:dyDescent="0.3">
      <c r="A72" t="s">
        <v>5</v>
      </c>
      <c r="B72">
        <v>11</v>
      </c>
      <c r="C72">
        <v>20</v>
      </c>
      <c r="D72">
        <v>7524346.875</v>
      </c>
      <c r="E72">
        <v>0</v>
      </c>
      <c r="F72">
        <v>1014.06</v>
      </c>
      <c r="G72" t="s">
        <v>8</v>
      </c>
      <c r="H72">
        <v>5</v>
      </c>
      <c r="I72">
        <f t="shared" ref="I72:J74" si="11">D72/(C72+D72)</f>
        <v>0.99999734196905432</v>
      </c>
      <c r="J72" s="6">
        <f t="shared" si="11"/>
        <v>0</v>
      </c>
      <c r="K72" s="2">
        <f>(J72*$N$3)/$N$2</f>
        <v>0</v>
      </c>
    </row>
    <row r="73" spans="1:11" x14ac:dyDescent="0.3">
      <c r="A73" t="s">
        <v>5</v>
      </c>
      <c r="B73">
        <v>11</v>
      </c>
      <c r="C73">
        <v>22</v>
      </c>
      <c r="D73">
        <v>8248760.86328125</v>
      </c>
      <c r="E73">
        <v>0</v>
      </c>
      <c r="F73">
        <v>1029.02</v>
      </c>
      <c r="G73" t="s">
        <v>8</v>
      </c>
      <c r="H73">
        <v>5</v>
      </c>
      <c r="I73">
        <f t="shared" si="11"/>
        <v>0.99999733293985738</v>
      </c>
      <c r="J73" s="6">
        <f t="shared" si="11"/>
        <v>0</v>
      </c>
      <c r="K73" s="2">
        <f>(J73*$N$3)/$N$2</f>
        <v>0</v>
      </c>
    </row>
    <row r="74" spans="1:11" x14ac:dyDescent="0.3">
      <c r="A74" t="s">
        <v>5</v>
      </c>
      <c r="B74">
        <v>11</v>
      </c>
      <c r="C74">
        <v>24</v>
      </c>
      <c r="D74">
        <v>7062758.1191406297</v>
      </c>
      <c r="E74">
        <v>0</v>
      </c>
      <c r="F74">
        <v>1043.6199999999999</v>
      </c>
      <c r="G74" t="s">
        <v>8</v>
      </c>
      <c r="H74">
        <v>5</v>
      </c>
      <c r="I74">
        <f t="shared" si="11"/>
        <v>0.99999660190565198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5</v>
      </c>
      <c r="B75">
        <v>2001</v>
      </c>
      <c r="C75">
        <v>2</v>
      </c>
      <c r="D75">
        <v>0</v>
      </c>
      <c r="E75">
        <v>0</v>
      </c>
      <c r="F75">
        <v>1058.08</v>
      </c>
    </row>
    <row r="76" spans="1:11" x14ac:dyDescent="0.3">
      <c r="A76" t="s">
        <v>5</v>
      </c>
      <c r="B76">
        <v>2001</v>
      </c>
      <c r="C76">
        <v>3</v>
      </c>
      <c r="D76">
        <v>0</v>
      </c>
      <c r="E76">
        <v>0</v>
      </c>
      <c r="F76">
        <v>1072.26</v>
      </c>
    </row>
    <row r="77" spans="1:11" x14ac:dyDescent="0.3">
      <c r="A77" t="s">
        <v>5</v>
      </c>
      <c r="B77">
        <v>2001</v>
      </c>
      <c r="C77">
        <v>2</v>
      </c>
      <c r="D77">
        <v>0</v>
      </c>
      <c r="E77">
        <v>0</v>
      </c>
      <c r="F77">
        <v>1086.71</v>
      </c>
    </row>
    <row r="78" spans="1:11" x14ac:dyDescent="0.3">
      <c r="A78" t="s">
        <v>5</v>
      </c>
      <c r="B78">
        <v>2001</v>
      </c>
      <c r="C78">
        <v>3</v>
      </c>
      <c r="D78">
        <v>0</v>
      </c>
      <c r="E78">
        <v>0</v>
      </c>
      <c r="F78">
        <v>1100.8800000000001</v>
      </c>
    </row>
    <row r="79" spans="1:11" x14ac:dyDescent="0.3">
      <c r="A79" t="s">
        <v>5</v>
      </c>
      <c r="B79">
        <v>10</v>
      </c>
      <c r="C79">
        <v>14</v>
      </c>
      <c r="D79">
        <v>1747890.5986328099</v>
      </c>
      <c r="E79">
        <v>0</v>
      </c>
      <c r="F79">
        <v>1115.5999999999999</v>
      </c>
      <c r="G79" t="s">
        <v>7</v>
      </c>
      <c r="H79">
        <v>10</v>
      </c>
      <c r="I79">
        <f t="shared" ref="I79:J81" si="12">D79/(C79+D79)</f>
        <v>0.99999199040953901</v>
      </c>
      <c r="J79" s="6">
        <f t="shared" si="12"/>
        <v>0</v>
      </c>
      <c r="K79" s="2">
        <f>(J79*$N$3)/$N$2</f>
        <v>0</v>
      </c>
    </row>
    <row r="80" spans="1:11" x14ac:dyDescent="0.3">
      <c r="A80" t="s">
        <v>5</v>
      </c>
      <c r="B80">
        <v>10</v>
      </c>
      <c r="C80">
        <v>16</v>
      </c>
      <c r="D80">
        <v>1619736.2363281299</v>
      </c>
      <c r="E80">
        <v>0</v>
      </c>
      <c r="F80">
        <v>1130.3</v>
      </c>
      <c r="G80" t="s">
        <v>7</v>
      </c>
      <c r="H80">
        <v>10</v>
      </c>
      <c r="I80">
        <f t="shared" si="12"/>
        <v>0.9999901219460352</v>
      </c>
      <c r="J80" s="6">
        <f t="shared" si="12"/>
        <v>0</v>
      </c>
      <c r="K80" s="2">
        <f>(J80*$N$3)/$N$2</f>
        <v>0</v>
      </c>
    </row>
    <row r="81" spans="1:11" x14ac:dyDescent="0.3">
      <c r="A81" t="s">
        <v>5</v>
      </c>
      <c r="B81">
        <v>10</v>
      </c>
      <c r="C81">
        <v>18</v>
      </c>
      <c r="D81">
        <v>2940627.36328125</v>
      </c>
      <c r="E81">
        <v>0</v>
      </c>
      <c r="F81">
        <v>1145</v>
      </c>
      <c r="G81" t="s">
        <v>7</v>
      </c>
      <c r="H81">
        <v>10</v>
      </c>
      <c r="I81">
        <f t="shared" si="12"/>
        <v>0.99999387889467228</v>
      </c>
      <c r="J81" s="6">
        <f t="shared" si="12"/>
        <v>0</v>
      </c>
      <c r="K81" s="2">
        <f>(J81*$N$3)/$N$2</f>
        <v>0</v>
      </c>
    </row>
    <row r="82" spans="1:11" x14ac:dyDescent="0.3">
      <c r="A82" t="s">
        <v>5</v>
      </c>
      <c r="B82">
        <v>2001</v>
      </c>
      <c r="C82">
        <v>2</v>
      </c>
      <c r="D82">
        <v>0</v>
      </c>
      <c r="E82">
        <v>0</v>
      </c>
      <c r="F82">
        <v>1159.3699999999999</v>
      </c>
    </row>
    <row r="83" spans="1:11" x14ac:dyDescent="0.3">
      <c r="A83" t="s">
        <v>5</v>
      </c>
      <c r="B83">
        <v>2001</v>
      </c>
      <c r="C83">
        <v>3</v>
      </c>
      <c r="D83">
        <v>0</v>
      </c>
      <c r="E83">
        <v>0</v>
      </c>
      <c r="F83">
        <v>1173.6600000000001</v>
      </c>
    </row>
    <row r="84" spans="1:11" x14ac:dyDescent="0.3">
      <c r="A84" t="s">
        <v>5</v>
      </c>
      <c r="B84">
        <v>10</v>
      </c>
      <c r="C84">
        <v>20</v>
      </c>
      <c r="D84">
        <v>6545737.4082031297</v>
      </c>
      <c r="E84">
        <v>0</v>
      </c>
      <c r="F84">
        <v>1188.3699999999999</v>
      </c>
      <c r="G84" t="s">
        <v>8</v>
      </c>
      <c r="H84">
        <v>10</v>
      </c>
      <c r="I84">
        <f t="shared" ref="I84:J86" si="13">D84/(C84+D84)</f>
        <v>0.99999694458582056</v>
      </c>
      <c r="J84" s="6">
        <f t="shared" si="13"/>
        <v>0</v>
      </c>
      <c r="K84" s="2">
        <f>(J84*$N$3)/$N$2</f>
        <v>0</v>
      </c>
    </row>
    <row r="85" spans="1:11" x14ac:dyDescent="0.3">
      <c r="A85" t="s">
        <v>5</v>
      </c>
      <c r="B85">
        <v>10</v>
      </c>
      <c r="C85">
        <v>22</v>
      </c>
      <c r="D85">
        <v>6858136.1503906297</v>
      </c>
      <c r="E85">
        <v>0</v>
      </c>
      <c r="F85">
        <v>1202.97</v>
      </c>
      <c r="G85" t="s">
        <v>8</v>
      </c>
      <c r="H85">
        <v>10</v>
      </c>
      <c r="I85">
        <f t="shared" si="13"/>
        <v>0.99999679214163373</v>
      </c>
      <c r="J85" s="6">
        <f t="shared" si="13"/>
        <v>0</v>
      </c>
      <c r="K85" s="2">
        <f>(J85*$N$3)/$N$2</f>
        <v>0</v>
      </c>
    </row>
    <row r="86" spans="1:11" x14ac:dyDescent="0.3">
      <c r="A86" t="s">
        <v>5</v>
      </c>
      <c r="B86">
        <v>10</v>
      </c>
      <c r="C86">
        <v>24</v>
      </c>
      <c r="D86">
        <v>6574802.8730468797</v>
      </c>
      <c r="E86">
        <v>0</v>
      </c>
      <c r="F86">
        <v>1217.77</v>
      </c>
      <c r="G86" t="s">
        <v>8</v>
      </c>
      <c r="H86">
        <v>10</v>
      </c>
      <c r="I86">
        <f t="shared" si="13"/>
        <v>0.99999634971376994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5</v>
      </c>
      <c r="B87">
        <v>2001</v>
      </c>
      <c r="C87">
        <v>2</v>
      </c>
      <c r="D87">
        <v>0</v>
      </c>
      <c r="E87">
        <v>0</v>
      </c>
      <c r="F87">
        <v>1232.0999999999999</v>
      </c>
    </row>
    <row r="88" spans="1:11" x14ac:dyDescent="0.3">
      <c r="A88" t="s">
        <v>5</v>
      </c>
      <c r="B88">
        <v>2001</v>
      </c>
      <c r="C88">
        <v>3</v>
      </c>
      <c r="D88">
        <v>0</v>
      </c>
      <c r="E88">
        <v>0</v>
      </c>
      <c r="F88">
        <v>1246.43</v>
      </c>
    </row>
    <row r="89" spans="1:11" x14ac:dyDescent="0.3">
      <c r="A89" t="s">
        <v>5</v>
      </c>
      <c r="B89">
        <v>2001</v>
      </c>
      <c r="C89">
        <v>2</v>
      </c>
      <c r="D89">
        <v>0</v>
      </c>
      <c r="E89">
        <v>0</v>
      </c>
      <c r="F89">
        <v>1260.73</v>
      </c>
    </row>
    <row r="90" spans="1:11" x14ac:dyDescent="0.3">
      <c r="A90" t="s">
        <v>5</v>
      </c>
      <c r="B90">
        <v>2001</v>
      </c>
      <c r="C90">
        <v>3</v>
      </c>
      <c r="D90">
        <v>0</v>
      </c>
      <c r="E90">
        <v>0</v>
      </c>
      <c r="F90">
        <v>1275.04</v>
      </c>
    </row>
    <row r="91" spans="1:11" x14ac:dyDescent="0.3">
      <c r="A91" t="s">
        <v>5</v>
      </c>
      <c r="B91">
        <v>9</v>
      </c>
      <c r="C91">
        <v>14</v>
      </c>
      <c r="D91">
        <v>1608619.4609375</v>
      </c>
      <c r="E91">
        <v>0</v>
      </c>
      <c r="F91">
        <v>1289.6600000000001</v>
      </c>
      <c r="G91" t="s">
        <v>7</v>
      </c>
      <c r="H91">
        <v>20</v>
      </c>
      <c r="I91">
        <f t="shared" ref="I91:J93" si="14">D91/(C91+D91)</f>
        <v>0.99999129696084288</v>
      </c>
      <c r="J91" s="6">
        <f t="shared" si="14"/>
        <v>0</v>
      </c>
      <c r="K91" s="2">
        <f>(J91*$N$3)/$N$2</f>
        <v>0</v>
      </c>
    </row>
    <row r="92" spans="1:11" x14ac:dyDescent="0.3">
      <c r="A92" t="s">
        <v>5</v>
      </c>
      <c r="B92">
        <v>9</v>
      </c>
      <c r="C92">
        <v>16</v>
      </c>
      <c r="D92">
        <v>1840526.5957031299</v>
      </c>
      <c r="E92">
        <v>0</v>
      </c>
      <c r="F92">
        <v>1304.4100000000001</v>
      </c>
      <c r="G92" t="s">
        <v>7</v>
      </c>
      <c r="H92">
        <v>20</v>
      </c>
      <c r="I92">
        <f t="shared" si="14"/>
        <v>0.9999913069113221</v>
      </c>
      <c r="J92" s="6">
        <f t="shared" si="14"/>
        <v>0</v>
      </c>
      <c r="K92" s="2">
        <f>(J92*$N$3)/$N$2</f>
        <v>0</v>
      </c>
    </row>
    <row r="93" spans="1:11" x14ac:dyDescent="0.3">
      <c r="A93" t="s">
        <v>5</v>
      </c>
      <c r="B93">
        <v>9</v>
      </c>
      <c r="C93">
        <v>18</v>
      </c>
      <c r="D93">
        <v>2510915.4091796898</v>
      </c>
      <c r="E93">
        <v>0</v>
      </c>
      <c r="F93">
        <v>1319.13</v>
      </c>
      <c r="G93" t="s">
        <v>7</v>
      </c>
      <c r="H93">
        <v>20</v>
      </c>
      <c r="I93">
        <f t="shared" si="14"/>
        <v>0.99999283135110861</v>
      </c>
      <c r="J93" s="6">
        <f t="shared" si="14"/>
        <v>0</v>
      </c>
      <c r="K93" s="2">
        <f>(J93*$N$3)/$N$2</f>
        <v>0</v>
      </c>
    </row>
    <row r="94" spans="1:11" x14ac:dyDescent="0.3">
      <c r="A94" t="s">
        <v>5</v>
      </c>
      <c r="B94">
        <v>2001</v>
      </c>
      <c r="C94">
        <v>2</v>
      </c>
      <c r="D94">
        <v>0</v>
      </c>
      <c r="E94">
        <v>0</v>
      </c>
      <c r="F94">
        <v>1333.48</v>
      </c>
    </row>
    <row r="95" spans="1:11" x14ac:dyDescent="0.3">
      <c r="A95" t="s">
        <v>5</v>
      </c>
      <c r="B95">
        <v>2001</v>
      </c>
      <c r="C95">
        <v>3</v>
      </c>
      <c r="D95">
        <v>0</v>
      </c>
      <c r="E95">
        <v>0</v>
      </c>
      <c r="F95">
        <v>1347.7</v>
      </c>
    </row>
    <row r="96" spans="1:11" x14ac:dyDescent="0.3">
      <c r="A96" t="s">
        <v>5</v>
      </c>
      <c r="B96">
        <v>9</v>
      </c>
      <c r="C96">
        <v>20</v>
      </c>
      <c r="D96">
        <v>9142684.08056641</v>
      </c>
      <c r="E96">
        <v>0</v>
      </c>
      <c r="F96">
        <v>1362.45</v>
      </c>
      <c r="G96" t="s">
        <v>8</v>
      </c>
      <c r="H96">
        <v>20</v>
      </c>
      <c r="I96">
        <f t="shared" ref="I96:J98" si="15">D96/(C96+D96)</f>
        <v>0.99999781246337804</v>
      </c>
      <c r="J96" s="6">
        <f t="shared" si="15"/>
        <v>0</v>
      </c>
      <c r="K96" s="2">
        <f>(J96*$N$3)/$N$2</f>
        <v>0</v>
      </c>
    </row>
    <row r="97" spans="1:11" x14ac:dyDescent="0.3">
      <c r="A97" t="s">
        <v>5</v>
      </c>
      <c r="B97">
        <v>9</v>
      </c>
      <c r="C97">
        <v>22</v>
      </c>
      <c r="D97">
        <v>5681614.2597656297</v>
      </c>
      <c r="E97">
        <v>0</v>
      </c>
      <c r="F97">
        <v>1377.17</v>
      </c>
      <c r="G97" t="s">
        <v>8</v>
      </c>
      <c r="H97">
        <v>20</v>
      </c>
      <c r="I97">
        <f t="shared" si="15"/>
        <v>0.99999612787602121</v>
      </c>
      <c r="J97" s="6">
        <f t="shared" si="15"/>
        <v>0</v>
      </c>
      <c r="K97" s="2">
        <f>(J97*$N$3)/$N$2</f>
        <v>0</v>
      </c>
    </row>
    <row r="98" spans="1:11" x14ac:dyDescent="0.3">
      <c r="A98" t="s">
        <v>5</v>
      </c>
      <c r="B98">
        <v>9</v>
      </c>
      <c r="C98">
        <v>24</v>
      </c>
      <c r="D98">
        <v>5874823.75244141</v>
      </c>
      <c r="E98">
        <v>0</v>
      </c>
      <c r="F98">
        <v>1391.72</v>
      </c>
      <c r="G98" t="s">
        <v>8</v>
      </c>
      <c r="H98">
        <v>20</v>
      </c>
      <c r="I98">
        <f t="shared" si="15"/>
        <v>0.99999591478775085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5</v>
      </c>
      <c r="B99">
        <v>2001</v>
      </c>
      <c r="C99">
        <v>2</v>
      </c>
      <c r="D99">
        <v>0</v>
      </c>
      <c r="E99">
        <v>0</v>
      </c>
      <c r="F99">
        <v>1406.18</v>
      </c>
    </row>
    <row r="100" spans="1:11" x14ac:dyDescent="0.3">
      <c r="A100" t="s">
        <v>5</v>
      </c>
      <c r="B100">
        <v>2001</v>
      </c>
      <c r="C100">
        <v>3</v>
      </c>
      <c r="D100">
        <v>0</v>
      </c>
      <c r="E100">
        <v>0</v>
      </c>
      <c r="F100">
        <v>1420.4</v>
      </c>
    </row>
    <row r="101" spans="1:11" x14ac:dyDescent="0.3">
      <c r="A101" t="s">
        <v>5</v>
      </c>
      <c r="B101">
        <v>2001</v>
      </c>
      <c r="C101">
        <v>2</v>
      </c>
      <c r="D101">
        <v>0</v>
      </c>
      <c r="E101">
        <v>0</v>
      </c>
      <c r="F101">
        <v>1434.84</v>
      </c>
    </row>
    <row r="102" spans="1:11" x14ac:dyDescent="0.3">
      <c r="A102" t="s">
        <v>5</v>
      </c>
      <c r="B102">
        <v>2001</v>
      </c>
      <c r="C102">
        <v>3</v>
      </c>
      <c r="D102">
        <v>0</v>
      </c>
      <c r="E102">
        <v>0</v>
      </c>
      <c r="F102">
        <v>1449</v>
      </c>
    </row>
    <row r="103" spans="1:11" x14ac:dyDescent="0.3">
      <c r="A103" t="s">
        <v>5</v>
      </c>
      <c r="B103">
        <v>2001</v>
      </c>
      <c r="C103">
        <v>2</v>
      </c>
      <c r="D103">
        <v>0</v>
      </c>
      <c r="E103">
        <v>0</v>
      </c>
      <c r="F103">
        <v>1463.46</v>
      </c>
    </row>
    <row r="104" spans="1:11" x14ac:dyDescent="0.3">
      <c r="A104" t="s">
        <v>5</v>
      </c>
      <c r="B104">
        <v>2001</v>
      </c>
      <c r="C104">
        <v>3</v>
      </c>
      <c r="D104">
        <v>0</v>
      </c>
      <c r="E104">
        <v>0</v>
      </c>
      <c r="F104">
        <v>1477.64</v>
      </c>
    </row>
    <row r="105" spans="1:11" x14ac:dyDescent="0.3">
      <c r="A105" t="s">
        <v>5</v>
      </c>
      <c r="B105">
        <v>8</v>
      </c>
      <c r="C105">
        <v>14</v>
      </c>
      <c r="D105">
        <v>1492483.0332031299</v>
      </c>
      <c r="E105">
        <v>0</v>
      </c>
      <c r="F105">
        <v>1492.31</v>
      </c>
      <c r="G105" t="s">
        <v>7</v>
      </c>
      <c r="H105">
        <v>40</v>
      </c>
      <c r="I105">
        <f t="shared" ref="I105:J107" si="16">D105/(C105+D105)</f>
        <v>0.999990619746848</v>
      </c>
      <c r="J105" s="6">
        <f t="shared" si="16"/>
        <v>0</v>
      </c>
      <c r="K105" s="2">
        <f>(J105*$N$3)/$N$2</f>
        <v>0</v>
      </c>
    </row>
    <row r="106" spans="1:11" x14ac:dyDescent="0.3">
      <c r="A106" t="s">
        <v>5</v>
      </c>
      <c r="B106">
        <v>8</v>
      </c>
      <c r="C106">
        <v>16</v>
      </c>
      <c r="D106">
        <v>1581116.9042968799</v>
      </c>
      <c r="E106">
        <v>0</v>
      </c>
      <c r="F106">
        <v>1507</v>
      </c>
      <c r="G106" t="s">
        <v>7</v>
      </c>
      <c r="H106">
        <v>40</v>
      </c>
      <c r="I106">
        <f t="shared" si="16"/>
        <v>0.99998988067356231</v>
      </c>
      <c r="J106" s="6">
        <f t="shared" si="16"/>
        <v>0</v>
      </c>
      <c r="K106" s="2">
        <f>(J106*$N$3)/$N$2</f>
        <v>0</v>
      </c>
    </row>
    <row r="107" spans="1:11" x14ac:dyDescent="0.3">
      <c r="A107" t="s">
        <v>5</v>
      </c>
      <c r="B107">
        <v>8</v>
      </c>
      <c r="C107">
        <v>18</v>
      </c>
      <c r="D107">
        <v>2142138.6713867201</v>
      </c>
      <c r="E107">
        <v>0</v>
      </c>
      <c r="F107">
        <v>1521.67</v>
      </c>
      <c r="G107" t="s">
        <v>7</v>
      </c>
      <c r="H107">
        <v>40</v>
      </c>
      <c r="I107">
        <f t="shared" si="16"/>
        <v>0.99999159725325393</v>
      </c>
      <c r="J107" s="6">
        <f t="shared" si="16"/>
        <v>0</v>
      </c>
      <c r="K107" s="2">
        <f>(J107*$N$3)/$N$2</f>
        <v>0</v>
      </c>
    </row>
    <row r="108" spans="1:11" x14ac:dyDescent="0.3">
      <c r="A108" t="s">
        <v>5</v>
      </c>
      <c r="B108">
        <v>2001</v>
      </c>
      <c r="C108">
        <v>2</v>
      </c>
      <c r="D108">
        <v>0</v>
      </c>
      <c r="E108">
        <v>0</v>
      </c>
      <c r="F108">
        <v>1536.12</v>
      </c>
    </row>
    <row r="109" spans="1:11" x14ac:dyDescent="0.3">
      <c r="A109" t="s">
        <v>5</v>
      </c>
      <c r="B109">
        <v>2001</v>
      </c>
      <c r="C109">
        <v>3</v>
      </c>
      <c r="D109">
        <v>0</v>
      </c>
      <c r="E109">
        <v>0</v>
      </c>
      <c r="F109">
        <v>1550.27</v>
      </c>
    </row>
    <row r="110" spans="1:11" x14ac:dyDescent="0.3">
      <c r="A110" t="s">
        <v>5</v>
      </c>
      <c r="B110">
        <v>2001</v>
      </c>
      <c r="C110">
        <v>2</v>
      </c>
      <c r="D110">
        <v>0</v>
      </c>
      <c r="E110">
        <v>0</v>
      </c>
      <c r="F110">
        <v>1564.7</v>
      </c>
    </row>
    <row r="111" spans="1:11" x14ac:dyDescent="0.3">
      <c r="A111" t="s">
        <v>5</v>
      </c>
      <c r="B111">
        <v>2001</v>
      </c>
      <c r="C111">
        <v>3</v>
      </c>
      <c r="D111">
        <v>0</v>
      </c>
      <c r="E111">
        <v>0</v>
      </c>
      <c r="F111">
        <v>1578.86</v>
      </c>
    </row>
    <row r="112" spans="1:11" x14ac:dyDescent="0.3">
      <c r="A112" t="s">
        <v>5</v>
      </c>
      <c r="B112">
        <v>8</v>
      </c>
      <c r="C112">
        <v>20</v>
      </c>
      <c r="D112">
        <v>3916454.19140625</v>
      </c>
      <c r="E112">
        <v>0</v>
      </c>
      <c r="F112">
        <v>1593.59</v>
      </c>
      <c r="G112" t="s">
        <v>8</v>
      </c>
      <c r="H112">
        <v>40</v>
      </c>
      <c r="I112">
        <f t="shared" ref="I112:J114" si="17">D112/(C112+D112)</f>
        <v>0.99999489336606795</v>
      </c>
      <c r="J112" s="6">
        <f t="shared" si="17"/>
        <v>0</v>
      </c>
      <c r="K112" s="2">
        <f>(J112*$N$3)/$N$2</f>
        <v>0</v>
      </c>
    </row>
    <row r="113" spans="1:11" x14ac:dyDescent="0.3">
      <c r="A113" t="s">
        <v>5</v>
      </c>
      <c r="B113">
        <v>8</v>
      </c>
      <c r="C113">
        <v>22</v>
      </c>
      <c r="D113">
        <v>3974018.9589843801</v>
      </c>
      <c r="E113">
        <v>0</v>
      </c>
      <c r="F113">
        <v>1608.32</v>
      </c>
      <c r="G113" t="s">
        <v>8</v>
      </c>
      <c r="H113">
        <v>40</v>
      </c>
      <c r="I113">
        <f t="shared" si="17"/>
        <v>0.99999446407316206</v>
      </c>
      <c r="J113" s="6">
        <f t="shared" si="17"/>
        <v>0</v>
      </c>
      <c r="K113" s="2">
        <f>(J113*$N$3)/$N$2</f>
        <v>0</v>
      </c>
    </row>
    <row r="114" spans="1:11" x14ac:dyDescent="0.3">
      <c r="A114" t="s">
        <v>5</v>
      </c>
      <c r="B114">
        <v>8</v>
      </c>
      <c r="C114">
        <v>24</v>
      </c>
      <c r="D114">
        <v>3176844.3056640602</v>
      </c>
      <c r="E114">
        <v>0</v>
      </c>
      <c r="F114">
        <v>1623</v>
      </c>
      <c r="G114" t="s">
        <v>8</v>
      </c>
      <c r="H114">
        <v>40</v>
      </c>
      <c r="I114">
        <f t="shared" si="17"/>
        <v>0.99999244539033705</v>
      </c>
      <c r="J114" s="6">
        <f t="shared" si="17"/>
        <v>0</v>
      </c>
      <c r="K114" s="2">
        <f>(J114*$N$3)/$N$2</f>
        <v>0</v>
      </c>
    </row>
    <row r="115" spans="1:11" x14ac:dyDescent="0.3">
      <c r="A115" t="s">
        <v>5</v>
      </c>
      <c r="B115">
        <v>2001</v>
      </c>
      <c r="C115">
        <v>2</v>
      </c>
      <c r="D115">
        <v>0</v>
      </c>
      <c r="E115">
        <v>0</v>
      </c>
      <c r="F115">
        <v>1637.44</v>
      </c>
    </row>
    <row r="116" spans="1:11" x14ac:dyDescent="0.3">
      <c r="A116" t="s">
        <v>5</v>
      </c>
      <c r="B116">
        <v>2001</v>
      </c>
      <c r="C116">
        <v>3</v>
      </c>
      <c r="D116">
        <v>0</v>
      </c>
      <c r="E116">
        <v>0</v>
      </c>
      <c r="F116">
        <v>1651.6</v>
      </c>
    </row>
    <row r="117" spans="1:11" x14ac:dyDescent="0.3">
      <c r="A117" t="s">
        <v>5</v>
      </c>
      <c r="B117">
        <v>2001</v>
      </c>
      <c r="C117">
        <v>2</v>
      </c>
      <c r="D117">
        <v>0</v>
      </c>
      <c r="E117">
        <v>0</v>
      </c>
      <c r="F117">
        <v>1666.02</v>
      </c>
    </row>
    <row r="118" spans="1:11" x14ac:dyDescent="0.3">
      <c r="A118" t="s">
        <v>5</v>
      </c>
      <c r="B118">
        <v>2001</v>
      </c>
      <c r="C118">
        <v>3</v>
      </c>
      <c r="D118">
        <v>0</v>
      </c>
      <c r="E118">
        <v>0</v>
      </c>
      <c r="F118">
        <v>1680.21</v>
      </c>
    </row>
    <row r="119" spans="1:11" x14ac:dyDescent="0.3">
      <c r="A119" t="s">
        <v>5</v>
      </c>
      <c r="B119">
        <v>7</v>
      </c>
      <c r="C119">
        <v>14</v>
      </c>
      <c r="D119">
        <v>1200307.64453125</v>
      </c>
      <c r="E119">
        <v>0</v>
      </c>
      <c r="F119">
        <v>1694.93</v>
      </c>
      <c r="G119" t="s">
        <v>7</v>
      </c>
      <c r="H119">
        <v>60</v>
      </c>
      <c r="I119">
        <f t="shared" ref="I119:J121" si="18">D119/(C119+D119)</f>
        <v>0.99998833645959495</v>
      </c>
      <c r="J119" s="6">
        <f t="shared" si="18"/>
        <v>0</v>
      </c>
      <c r="K119" s="2">
        <f>(J119*$N$3)/$N$2</f>
        <v>0</v>
      </c>
    </row>
    <row r="120" spans="1:11" x14ac:dyDescent="0.3">
      <c r="A120" t="s">
        <v>5</v>
      </c>
      <c r="B120">
        <v>7</v>
      </c>
      <c r="C120">
        <v>16</v>
      </c>
      <c r="D120">
        <v>1452906.8271484401</v>
      </c>
      <c r="E120">
        <v>0</v>
      </c>
      <c r="F120">
        <v>1709.6</v>
      </c>
      <c r="G120" t="s">
        <v>7</v>
      </c>
      <c r="H120">
        <v>60</v>
      </c>
      <c r="I120">
        <f t="shared" si="18"/>
        <v>0.99998898771517586</v>
      </c>
      <c r="J120" s="6">
        <f t="shared" si="18"/>
        <v>0</v>
      </c>
      <c r="K120" s="2">
        <f>(J120*$N$3)/$N$2</f>
        <v>0</v>
      </c>
    </row>
    <row r="121" spans="1:11" x14ac:dyDescent="0.3">
      <c r="A121" t="s">
        <v>5</v>
      </c>
      <c r="B121">
        <v>7</v>
      </c>
      <c r="C121">
        <v>18</v>
      </c>
      <c r="D121">
        <v>2251192.6953125</v>
      </c>
      <c r="E121">
        <v>0</v>
      </c>
      <c r="F121">
        <v>1724.29</v>
      </c>
      <c r="G121" t="s">
        <v>7</v>
      </c>
      <c r="H121">
        <v>60</v>
      </c>
      <c r="I121">
        <f t="shared" si="18"/>
        <v>0.99999200430237944</v>
      </c>
      <c r="J121" s="6">
        <f t="shared" si="18"/>
        <v>0</v>
      </c>
      <c r="K121" s="2">
        <f>(J121*$N$3)/$N$2</f>
        <v>0</v>
      </c>
    </row>
    <row r="122" spans="1:11" x14ac:dyDescent="0.3">
      <c r="A122" t="s">
        <v>5</v>
      </c>
      <c r="B122">
        <v>2001</v>
      </c>
      <c r="C122">
        <v>2</v>
      </c>
      <c r="D122">
        <v>0</v>
      </c>
      <c r="E122">
        <v>0</v>
      </c>
      <c r="F122">
        <v>1738.77</v>
      </c>
    </row>
    <row r="123" spans="1:11" x14ac:dyDescent="0.3">
      <c r="A123" t="s">
        <v>5</v>
      </c>
      <c r="B123">
        <v>2001</v>
      </c>
      <c r="C123">
        <v>3</v>
      </c>
      <c r="D123">
        <v>0</v>
      </c>
      <c r="E123">
        <v>0</v>
      </c>
      <c r="F123">
        <v>1752.98</v>
      </c>
    </row>
    <row r="124" spans="1:11" x14ac:dyDescent="0.3">
      <c r="A124" t="s">
        <v>5</v>
      </c>
      <c r="B124">
        <v>2001</v>
      </c>
      <c r="C124">
        <v>2</v>
      </c>
      <c r="D124">
        <v>0</v>
      </c>
      <c r="E124">
        <v>0</v>
      </c>
      <c r="F124">
        <v>1767.41</v>
      </c>
    </row>
    <row r="125" spans="1:11" x14ac:dyDescent="0.3">
      <c r="A125" t="s">
        <v>5</v>
      </c>
      <c r="B125">
        <v>2001</v>
      </c>
      <c r="C125">
        <v>3</v>
      </c>
      <c r="D125">
        <v>0</v>
      </c>
      <c r="E125">
        <v>0</v>
      </c>
      <c r="F125">
        <v>1781.59</v>
      </c>
    </row>
    <row r="126" spans="1:11" x14ac:dyDescent="0.3">
      <c r="A126" t="s">
        <v>5</v>
      </c>
      <c r="B126">
        <v>7</v>
      </c>
      <c r="C126">
        <v>20</v>
      </c>
      <c r="D126">
        <v>2341649.0361328102</v>
      </c>
      <c r="E126">
        <v>0</v>
      </c>
      <c r="F126">
        <v>1796.2</v>
      </c>
      <c r="G126" t="s">
        <v>8</v>
      </c>
      <c r="H126">
        <v>60</v>
      </c>
      <c r="I126">
        <f t="shared" ref="I126:J128" si="19">D126/(C126+D126)</f>
        <v>0.99999145908337539</v>
      </c>
      <c r="J126" s="6">
        <f t="shared" si="19"/>
        <v>0</v>
      </c>
      <c r="K126" s="2">
        <f>(J126*$N$3)/$N$2</f>
        <v>0</v>
      </c>
    </row>
    <row r="127" spans="1:11" x14ac:dyDescent="0.3">
      <c r="A127" t="s">
        <v>5</v>
      </c>
      <c r="B127">
        <v>7</v>
      </c>
      <c r="C127">
        <v>22</v>
      </c>
      <c r="D127">
        <v>1532038.13671875</v>
      </c>
      <c r="E127">
        <v>0</v>
      </c>
      <c r="F127">
        <v>1811.03</v>
      </c>
      <c r="G127" t="s">
        <v>8</v>
      </c>
      <c r="H127">
        <v>60</v>
      </c>
      <c r="I127">
        <f t="shared" si="19"/>
        <v>0.99998564025035785</v>
      </c>
      <c r="J127" s="6">
        <f t="shared" si="19"/>
        <v>0</v>
      </c>
      <c r="K127" s="2">
        <f>(J127*$N$3)/$N$2</f>
        <v>0</v>
      </c>
    </row>
    <row r="128" spans="1:11" x14ac:dyDescent="0.3">
      <c r="A128" t="s">
        <v>5</v>
      </c>
      <c r="B128">
        <v>7</v>
      </c>
      <c r="C128">
        <v>24</v>
      </c>
      <c r="D128">
        <v>1608742.2363281299</v>
      </c>
      <c r="E128">
        <v>0</v>
      </c>
      <c r="F128">
        <v>1825.72</v>
      </c>
      <c r="G128" t="s">
        <v>8</v>
      </c>
      <c r="H128">
        <v>60</v>
      </c>
      <c r="I128">
        <f t="shared" si="19"/>
        <v>0.99998508173564438</v>
      </c>
      <c r="J128" s="6">
        <f t="shared" si="19"/>
        <v>0</v>
      </c>
      <c r="K128" s="2">
        <f>(J128*$N$3)/$N$2</f>
        <v>0</v>
      </c>
    </row>
    <row r="129" spans="1:11" x14ac:dyDescent="0.3">
      <c r="A129" t="s">
        <v>5</v>
      </c>
      <c r="B129">
        <v>2001</v>
      </c>
      <c r="C129">
        <v>2</v>
      </c>
      <c r="D129">
        <v>0</v>
      </c>
      <c r="E129">
        <v>0</v>
      </c>
      <c r="F129">
        <v>1840.06</v>
      </c>
    </row>
    <row r="130" spans="1:11" x14ac:dyDescent="0.3">
      <c r="A130" t="s">
        <v>5</v>
      </c>
      <c r="B130">
        <v>2001</v>
      </c>
      <c r="C130">
        <v>3</v>
      </c>
      <c r="D130">
        <v>0</v>
      </c>
      <c r="E130">
        <v>0</v>
      </c>
      <c r="F130">
        <v>1854.21</v>
      </c>
    </row>
    <row r="131" spans="1:11" x14ac:dyDescent="0.3">
      <c r="A131" t="s">
        <v>5</v>
      </c>
      <c r="B131">
        <v>2001</v>
      </c>
      <c r="C131">
        <v>2</v>
      </c>
      <c r="D131">
        <v>0</v>
      </c>
      <c r="E131">
        <v>0</v>
      </c>
      <c r="F131">
        <v>1868.68</v>
      </c>
    </row>
    <row r="132" spans="1:11" x14ac:dyDescent="0.3">
      <c r="A132" t="s">
        <v>5</v>
      </c>
      <c r="B132">
        <v>2001</v>
      </c>
      <c r="C132">
        <v>3</v>
      </c>
      <c r="D132">
        <v>0</v>
      </c>
      <c r="E132">
        <v>0</v>
      </c>
      <c r="F132">
        <v>1882.89</v>
      </c>
    </row>
    <row r="133" spans="1:11" x14ac:dyDescent="0.3">
      <c r="A133" t="s">
        <v>5</v>
      </c>
      <c r="B133">
        <v>6</v>
      </c>
      <c r="C133">
        <v>14</v>
      </c>
      <c r="D133">
        <v>923930.771484375</v>
      </c>
      <c r="E133">
        <v>57372.786621093801</v>
      </c>
      <c r="F133">
        <v>1897.63</v>
      </c>
      <c r="G133" t="s">
        <v>7</v>
      </c>
      <c r="H133">
        <v>300</v>
      </c>
      <c r="I133">
        <f t="shared" ref="I133:J135" si="20">D133/(C133+D133)</f>
        <v>0.99998484757917128</v>
      </c>
      <c r="J133" s="6">
        <f t="shared" si="20"/>
        <v>5.8465890750319154E-2</v>
      </c>
      <c r="K133" s="2">
        <f>(J133*$N$3)/$N$2</f>
        <v>0.13596718779143988</v>
      </c>
    </row>
    <row r="134" spans="1:11" x14ac:dyDescent="0.3">
      <c r="A134" t="s">
        <v>5</v>
      </c>
      <c r="B134">
        <v>6</v>
      </c>
      <c r="C134">
        <v>16</v>
      </c>
      <c r="D134">
        <v>676271.125</v>
      </c>
      <c r="E134">
        <v>39387.3759765625</v>
      </c>
      <c r="F134">
        <v>1912.34</v>
      </c>
      <c r="G134" t="s">
        <v>7</v>
      </c>
      <c r="H134">
        <v>300</v>
      </c>
      <c r="I134">
        <f t="shared" si="20"/>
        <v>0.99997634140972302</v>
      </c>
      <c r="J134" s="6">
        <f t="shared" si="20"/>
        <v>5.5036551543530703E-2</v>
      </c>
      <c r="K134" s="2">
        <f>(J134*$N$3)/$N$2</f>
        <v>0.1279919803337923</v>
      </c>
    </row>
    <row r="135" spans="1:11" x14ac:dyDescent="0.3">
      <c r="A135" t="s">
        <v>5</v>
      </c>
      <c r="B135">
        <v>6</v>
      </c>
      <c r="C135">
        <v>18</v>
      </c>
      <c r="D135">
        <v>0</v>
      </c>
      <c r="E135">
        <v>0</v>
      </c>
      <c r="F135">
        <v>1927.04</v>
      </c>
      <c r="G135" t="s">
        <v>7</v>
      </c>
      <c r="H135">
        <v>300</v>
      </c>
      <c r="I135">
        <f t="shared" si="20"/>
        <v>0</v>
      </c>
      <c r="J135" s="6" t="e">
        <f t="shared" si="20"/>
        <v>#DIV/0!</v>
      </c>
      <c r="K135" s="2" t="e">
        <f>(J135*$N$3)/$N$2</f>
        <v>#DIV/0!</v>
      </c>
    </row>
    <row r="136" spans="1:11" x14ac:dyDescent="0.3">
      <c r="A136" t="s">
        <v>5</v>
      </c>
      <c r="B136">
        <v>2001</v>
      </c>
      <c r="C136">
        <v>2</v>
      </c>
      <c r="D136">
        <v>0</v>
      </c>
      <c r="E136">
        <v>0</v>
      </c>
      <c r="F136">
        <v>1941.36</v>
      </c>
    </row>
    <row r="137" spans="1:11" x14ac:dyDescent="0.3">
      <c r="A137" t="s">
        <v>5</v>
      </c>
      <c r="B137">
        <v>2001</v>
      </c>
      <c r="C137">
        <v>3</v>
      </c>
      <c r="D137">
        <v>0</v>
      </c>
      <c r="E137">
        <v>0</v>
      </c>
      <c r="F137">
        <v>1955.52</v>
      </c>
    </row>
    <row r="138" spans="1:11" x14ac:dyDescent="0.3">
      <c r="A138" t="s">
        <v>5</v>
      </c>
      <c r="B138">
        <v>2001</v>
      </c>
      <c r="C138">
        <v>2</v>
      </c>
      <c r="D138">
        <v>0</v>
      </c>
      <c r="E138">
        <v>0</v>
      </c>
      <c r="F138">
        <v>1969.94</v>
      </c>
    </row>
    <row r="139" spans="1:11" x14ac:dyDescent="0.3">
      <c r="A139" t="s">
        <v>5</v>
      </c>
      <c r="B139">
        <v>2001</v>
      </c>
      <c r="C139">
        <v>3</v>
      </c>
      <c r="D139">
        <v>0</v>
      </c>
      <c r="E139">
        <v>0</v>
      </c>
      <c r="F139">
        <v>1984.27</v>
      </c>
    </row>
    <row r="140" spans="1:11" x14ac:dyDescent="0.3">
      <c r="A140" t="s">
        <v>5</v>
      </c>
      <c r="B140">
        <v>6</v>
      </c>
      <c r="C140">
        <v>20</v>
      </c>
      <c r="D140">
        <v>995353.15673828102</v>
      </c>
      <c r="E140">
        <v>0</v>
      </c>
      <c r="F140">
        <v>1998.94</v>
      </c>
      <c r="G140" t="s">
        <v>8</v>
      </c>
      <c r="H140">
        <v>300</v>
      </c>
      <c r="I140">
        <f t="shared" ref="I140:J142" si="21">D140/(C140+D140)</f>
        <v>0.999979907032991</v>
      </c>
      <c r="J140" s="6">
        <f t="shared" si="21"/>
        <v>0</v>
      </c>
      <c r="K140" s="2">
        <f>(J140*$N$3)/$N$2</f>
        <v>0</v>
      </c>
    </row>
    <row r="141" spans="1:11" x14ac:dyDescent="0.3">
      <c r="A141" t="s">
        <v>5</v>
      </c>
      <c r="B141">
        <v>6</v>
      </c>
      <c r="C141">
        <v>22</v>
      </c>
      <c r="D141">
        <v>1003654.8232421899</v>
      </c>
      <c r="E141">
        <v>0</v>
      </c>
      <c r="F141">
        <v>2013.66</v>
      </c>
      <c r="G141" t="s">
        <v>8</v>
      </c>
      <c r="H141">
        <v>300</v>
      </c>
      <c r="I141">
        <f t="shared" si="21"/>
        <v>0.99997808059378224</v>
      </c>
      <c r="J141" s="6">
        <f t="shared" si="21"/>
        <v>0</v>
      </c>
      <c r="K141" s="2">
        <f>(J141*$N$3)/$N$2</f>
        <v>0</v>
      </c>
    </row>
    <row r="142" spans="1:11" x14ac:dyDescent="0.3">
      <c r="A142" t="s">
        <v>5</v>
      </c>
      <c r="B142">
        <v>6</v>
      </c>
      <c r="C142">
        <v>24</v>
      </c>
      <c r="D142">
        <v>994224.55175781297</v>
      </c>
      <c r="E142">
        <v>0</v>
      </c>
      <c r="F142">
        <v>2028.32</v>
      </c>
      <c r="G142" t="s">
        <v>8</v>
      </c>
      <c r="H142">
        <v>300</v>
      </c>
      <c r="I142">
        <f t="shared" si="21"/>
        <v>0.99997586116674997</v>
      </c>
      <c r="J142" s="6">
        <f t="shared" si="21"/>
        <v>0</v>
      </c>
      <c r="K142" s="2">
        <f>(J142*$N$3)/$N$2</f>
        <v>0</v>
      </c>
    </row>
    <row r="143" spans="1:11" x14ac:dyDescent="0.3">
      <c r="A143" t="s">
        <v>5</v>
      </c>
      <c r="B143">
        <v>2001</v>
      </c>
      <c r="C143">
        <v>2</v>
      </c>
      <c r="D143">
        <v>0</v>
      </c>
      <c r="E143">
        <v>0</v>
      </c>
      <c r="F143">
        <v>2042.78</v>
      </c>
    </row>
    <row r="144" spans="1:11" x14ac:dyDescent="0.3">
      <c r="A144" t="s">
        <v>5</v>
      </c>
      <c r="B144">
        <v>2001</v>
      </c>
      <c r="C144">
        <v>3</v>
      </c>
      <c r="D144">
        <v>0</v>
      </c>
      <c r="E144">
        <v>0</v>
      </c>
      <c r="F144">
        <v>2056.9699999999998</v>
      </c>
    </row>
    <row r="145" spans="1:6" x14ac:dyDescent="0.3">
      <c r="A145" t="s">
        <v>5</v>
      </c>
      <c r="B145">
        <v>2001</v>
      </c>
      <c r="C145">
        <v>2</v>
      </c>
      <c r="D145">
        <v>0</v>
      </c>
      <c r="E145">
        <v>0</v>
      </c>
      <c r="F145">
        <v>2071.2800000000002</v>
      </c>
    </row>
    <row r="146" spans="1:6" x14ac:dyDescent="0.3">
      <c r="A146" t="s">
        <v>5</v>
      </c>
      <c r="B146">
        <v>2001</v>
      </c>
      <c r="C146">
        <v>3</v>
      </c>
      <c r="D146">
        <v>0</v>
      </c>
      <c r="E146">
        <v>0</v>
      </c>
      <c r="F146">
        <v>2085.4699999999998</v>
      </c>
    </row>
    <row r="147" spans="1:6" x14ac:dyDescent="0.3">
      <c r="A147" t="s">
        <v>5</v>
      </c>
      <c r="B147">
        <v>2001</v>
      </c>
      <c r="C147">
        <v>2</v>
      </c>
      <c r="D147">
        <v>0</v>
      </c>
      <c r="E147">
        <v>0</v>
      </c>
      <c r="F147">
        <v>2099.91</v>
      </c>
    </row>
    <row r="148" spans="1:6" x14ac:dyDescent="0.3">
      <c r="A148" t="s">
        <v>5</v>
      </c>
      <c r="B148">
        <v>2001</v>
      </c>
      <c r="C148">
        <v>3</v>
      </c>
      <c r="D148">
        <v>0</v>
      </c>
      <c r="E148">
        <v>0</v>
      </c>
      <c r="F148">
        <v>2114.1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FD530-3D51-4267-AED9-C21C8C182013}">
  <dimension ref="A1:S150"/>
  <sheetViews>
    <sheetView topLeftCell="J1" workbookViewId="0">
      <selection activeCell="R8" sqref="R8:S18"/>
    </sheetView>
  </sheetViews>
  <sheetFormatPr defaultRowHeight="14.4" x14ac:dyDescent="0.3"/>
  <cols>
    <col min="10" max="10" width="8.88671875" style="6"/>
    <col min="14" max="14" width="9.33203125" bestFit="1" customWidth="1"/>
  </cols>
  <sheetData>
    <row r="1" spans="1:19" x14ac:dyDescent="0.3">
      <c r="A1" t="s">
        <v>9</v>
      </c>
    </row>
    <row r="2" spans="1:19" x14ac:dyDescent="0.3">
      <c r="A2" t="s">
        <v>1</v>
      </c>
      <c r="B2" t="s">
        <v>2</v>
      </c>
      <c r="C2" t="s">
        <v>3</v>
      </c>
      <c r="D2">
        <v>1442.73</v>
      </c>
      <c r="E2">
        <v>1474.73</v>
      </c>
      <c r="F2" t="s">
        <v>4</v>
      </c>
      <c r="G2" t="s">
        <v>6</v>
      </c>
      <c r="H2" t="s">
        <v>10</v>
      </c>
      <c r="I2" t="s">
        <v>19</v>
      </c>
      <c r="J2" s="6" t="s">
        <v>23</v>
      </c>
      <c r="K2" t="s">
        <v>16</v>
      </c>
      <c r="M2" t="s">
        <v>17</v>
      </c>
      <c r="N2" s="2">
        <v>2.7599999999999999E-3</v>
      </c>
    </row>
    <row r="3" spans="1:19" x14ac:dyDescent="0.3">
      <c r="A3" t="s">
        <v>5</v>
      </c>
      <c r="B3">
        <v>2001</v>
      </c>
      <c r="C3">
        <v>2</v>
      </c>
      <c r="D3">
        <v>0</v>
      </c>
      <c r="E3">
        <v>0</v>
      </c>
      <c r="F3">
        <v>3.37</v>
      </c>
      <c r="M3" t="s">
        <v>18</v>
      </c>
      <c r="N3" s="2">
        <v>8.9999999999999993E-3</v>
      </c>
    </row>
    <row r="4" spans="1:19" x14ac:dyDescent="0.3">
      <c r="A4" t="s">
        <v>5</v>
      </c>
      <c r="B4">
        <v>2001</v>
      </c>
      <c r="C4">
        <v>3</v>
      </c>
      <c r="D4">
        <v>0</v>
      </c>
      <c r="E4">
        <v>0</v>
      </c>
      <c r="F4">
        <v>17.559999999999999</v>
      </c>
    </row>
    <row r="5" spans="1:19" x14ac:dyDescent="0.3">
      <c r="A5" t="s">
        <v>5</v>
      </c>
      <c r="B5">
        <v>2001</v>
      </c>
      <c r="C5">
        <v>2</v>
      </c>
      <c r="D5">
        <v>0</v>
      </c>
      <c r="E5">
        <v>0</v>
      </c>
      <c r="F5">
        <v>31.91</v>
      </c>
    </row>
    <row r="6" spans="1:19" ht="15.6" x14ac:dyDescent="0.3">
      <c r="A6" t="s">
        <v>5</v>
      </c>
      <c r="B6">
        <v>2001</v>
      </c>
      <c r="C6">
        <v>3</v>
      </c>
      <c r="D6">
        <v>0</v>
      </c>
      <c r="E6">
        <v>0</v>
      </c>
      <c r="F6">
        <v>46.1</v>
      </c>
      <c r="M6" s="3"/>
      <c r="N6" s="4" t="s">
        <v>20</v>
      </c>
      <c r="O6" s="3"/>
      <c r="Q6" s="3"/>
      <c r="R6" s="4" t="s">
        <v>20</v>
      </c>
      <c r="S6" s="3"/>
    </row>
    <row r="7" spans="1:19" ht="15.6" x14ac:dyDescent="0.3">
      <c r="A7" t="s">
        <v>5</v>
      </c>
      <c r="B7">
        <v>2001</v>
      </c>
      <c r="C7">
        <v>2</v>
      </c>
      <c r="D7">
        <v>0</v>
      </c>
      <c r="E7">
        <v>0</v>
      </c>
      <c r="F7">
        <v>60.51</v>
      </c>
      <c r="M7" s="4" t="s">
        <v>21</v>
      </c>
      <c r="N7" s="4" t="s">
        <v>16</v>
      </c>
      <c r="O7" s="3" t="s">
        <v>22</v>
      </c>
      <c r="Q7" s="4" t="s">
        <v>21</v>
      </c>
      <c r="R7" s="4" t="s">
        <v>23</v>
      </c>
      <c r="S7" s="3" t="s">
        <v>22</v>
      </c>
    </row>
    <row r="8" spans="1:19" ht="15.6" x14ac:dyDescent="0.3">
      <c r="A8" t="s">
        <v>5</v>
      </c>
      <c r="B8">
        <v>2001</v>
      </c>
      <c r="C8">
        <v>3</v>
      </c>
      <c r="D8">
        <v>0</v>
      </c>
      <c r="E8">
        <v>0</v>
      </c>
      <c r="F8">
        <v>74.77</v>
      </c>
      <c r="M8" s="3">
        <v>0</v>
      </c>
      <c r="N8" s="5">
        <f>AVERAGE(K9:K11)</f>
        <v>0</v>
      </c>
      <c r="O8" s="3">
        <f>STDEV(K9:K11)</f>
        <v>0</v>
      </c>
      <c r="Q8" s="3">
        <v>0</v>
      </c>
      <c r="R8" s="7">
        <f>AVERAGE(J8:J10)</f>
        <v>0</v>
      </c>
      <c r="S8" s="3">
        <f>STDEV(J9:J11)</f>
        <v>0</v>
      </c>
    </row>
    <row r="9" spans="1:19" ht="15.6" x14ac:dyDescent="0.3">
      <c r="A9" t="s">
        <v>5</v>
      </c>
      <c r="B9">
        <v>16</v>
      </c>
      <c r="C9">
        <v>1</v>
      </c>
      <c r="D9">
        <v>16242993.9731445</v>
      </c>
      <c r="E9">
        <v>0</v>
      </c>
      <c r="F9">
        <v>89.7</v>
      </c>
      <c r="G9" t="s">
        <v>7</v>
      </c>
      <c r="H9">
        <v>0</v>
      </c>
      <c r="I9">
        <f t="shared" ref="I9:J11" si="0">D9/(C9+D9)</f>
        <v>0.99999993843499912</v>
      </c>
      <c r="J9" s="6">
        <f t="shared" si="0"/>
        <v>0</v>
      </c>
      <c r="K9" s="2">
        <f>(J9*$N$3)/$N$2</f>
        <v>0</v>
      </c>
      <c r="M9" s="3">
        <v>0.5</v>
      </c>
      <c r="N9" s="5">
        <f>AVERAGE(K21:K23)</f>
        <v>0</v>
      </c>
      <c r="O9" s="3">
        <f>STDEV(K21:K23)</f>
        <v>0</v>
      </c>
      <c r="Q9" s="3">
        <v>0.5</v>
      </c>
      <c r="R9" s="7">
        <f>AVERAGE(J20:J22)</f>
        <v>0</v>
      </c>
      <c r="S9" s="3">
        <f>STDEV(J21:J23)</f>
        <v>0</v>
      </c>
    </row>
    <row r="10" spans="1:19" ht="15.6" x14ac:dyDescent="0.3">
      <c r="A10" t="s">
        <v>5</v>
      </c>
      <c r="B10">
        <v>16</v>
      </c>
      <c r="C10">
        <v>3</v>
      </c>
      <c r="D10">
        <v>16829779.0869141</v>
      </c>
      <c r="E10">
        <v>0</v>
      </c>
      <c r="F10">
        <v>104.55</v>
      </c>
      <c r="G10" t="s">
        <v>7</v>
      </c>
      <c r="H10">
        <v>0</v>
      </c>
      <c r="I10">
        <f t="shared" si="0"/>
        <v>0.99999982174457258</v>
      </c>
      <c r="J10" s="6">
        <f t="shared" si="0"/>
        <v>0</v>
      </c>
      <c r="K10" s="2">
        <f>(J10*$N$3)/$N$2</f>
        <v>0</v>
      </c>
      <c r="M10" s="3">
        <v>1</v>
      </c>
      <c r="N10" s="5">
        <f>AVERAGE(K33:K35)</f>
        <v>0</v>
      </c>
      <c r="O10" s="3">
        <f>STDEV(K33:K35)</f>
        <v>0</v>
      </c>
      <c r="Q10" s="3">
        <v>1</v>
      </c>
      <c r="R10" s="7">
        <f>AVERAGE(J32:J34)</f>
        <v>0</v>
      </c>
      <c r="S10" s="3">
        <f>STDEV(J33:J35)</f>
        <v>0</v>
      </c>
    </row>
    <row r="11" spans="1:19" ht="15.6" x14ac:dyDescent="0.3">
      <c r="A11" t="s">
        <v>5</v>
      </c>
      <c r="B11">
        <v>16</v>
      </c>
      <c r="C11">
        <v>5</v>
      </c>
      <c r="D11">
        <v>14703194.855957</v>
      </c>
      <c r="E11">
        <v>0</v>
      </c>
      <c r="F11">
        <v>119.41</v>
      </c>
      <c r="G11" t="s">
        <v>7</v>
      </c>
      <c r="H11">
        <v>0</v>
      </c>
      <c r="I11">
        <f t="shared" si="0"/>
        <v>0.99999965993796935</v>
      </c>
      <c r="J11" s="6">
        <f t="shared" si="0"/>
        <v>0</v>
      </c>
      <c r="K11" s="2">
        <f>(J11*$N$3)/$N$2</f>
        <v>0</v>
      </c>
      <c r="M11" s="3">
        <v>1.5</v>
      </c>
      <c r="N11" s="5">
        <f>AVERAGE(K45:K47)</f>
        <v>1.3000202066481817E-2</v>
      </c>
      <c r="O11" s="3">
        <f>STDEV(K45:K47)</f>
        <v>5.5209225353575484E-3</v>
      </c>
      <c r="Q11" s="3">
        <v>1.5</v>
      </c>
      <c r="R11" s="7">
        <f>AVERAGE(J45:J47)</f>
        <v>3.9867286337210905E-3</v>
      </c>
      <c r="S11" s="3">
        <f>STDEV(J45:J47)</f>
        <v>1.6930829108429836E-3</v>
      </c>
    </row>
    <row r="12" spans="1:19" ht="15.6" x14ac:dyDescent="0.3">
      <c r="A12" t="s">
        <v>5</v>
      </c>
      <c r="B12">
        <v>2001</v>
      </c>
      <c r="C12">
        <v>2</v>
      </c>
      <c r="D12">
        <v>6047.70556640625</v>
      </c>
      <c r="E12">
        <v>0</v>
      </c>
      <c r="F12">
        <v>133.85</v>
      </c>
      <c r="M12" s="3">
        <v>3</v>
      </c>
      <c r="N12" s="5">
        <f>AVERAGE(K57:K59)</f>
        <v>3.4522622537070058E-2</v>
      </c>
      <c r="O12" s="3">
        <f>STDEV(K57:K59)</f>
        <v>4.5254248210897805E-3</v>
      </c>
      <c r="Q12" s="3">
        <v>3</v>
      </c>
      <c r="R12" s="7">
        <f>AVERAGE(J56:J58)</f>
        <v>1.1381145456303643E-2</v>
      </c>
      <c r="S12" s="3">
        <f>STDEV(J57:J59)</f>
        <v>1.3877969451341989E-3</v>
      </c>
    </row>
    <row r="13" spans="1:19" ht="15.6" x14ac:dyDescent="0.3">
      <c r="A13" t="s">
        <v>5</v>
      </c>
      <c r="B13">
        <v>2001</v>
      </c>
      <c r="C13">
        <v>3</v>
      </c>
      <c r="D13">
        <v>0</v>
      </c>
      <c r="E13">
        <v>0</v>
      </c>
      <c r="F13">
        <v>148.03</v>
      </c>
      <c r="M13" s="3">
        <v>5</v>
      </c>
      <c r="N13" s="5">
        <f>AVERAGE(K69:K71)</f>
        <v>7.713405108772009E-2</v>
      </c>
      <c r="O13" s="3">
        <f>STDEV(K69:K71)</f>
        <v>5.037694943725508E-3</v>
      </c>
      <c r="Q13" s="3">
        <v>5</v>
      </c>
      <c r="R13" s="7">
        <f>AVERAGE(J68:J70)</f>
        <v>2.3709371355073307E-2</v>
      </c>
      <c r="S13" s="3">
        <f>STDEV(J69:J71)</f>
        <v>1.5448931160758233E-3</v>
      </c>
    </row>
    <row r="14" spans="1:19" ht="15.6" x14ac:dyDescent="0.3">
      <c r="A14" t="s">
        <v>5</v>
      </c>
      <c r="B14">
        <v>16</v>
      </c>
      <c r="C14">
        <v>7</v>
      </c>
      <c r="D14">
        <v>16444157.5390625</v>
      </c>
      <c r="E14">
        <v>0</v>
      </c>
      <c r="F14">
        <v>162.99</v>
      </c>
      <c r="G14" t="s">
        <v>8</v>
      </c>
      <c r="H14">
        <v>0</v>
      </c>
      <c r="I14">
        <f t="shared" ref="I14:J16" si="1">D14/(C14+D14)</f>
        <v>0.99999957431707864</v>
      </c>
      <c r="J14" s="6">
        <f t="shared" si="1"/>
        <v>0</v>
      </c>
      <c r="K14" s="2">
        <f>(J14*$N$3)/$N$2</f>
        <v>0</v>
      </c>
      <c r="M14" s="3">
        <v>10</v>
      </c>
      <c r="N14" s="5">
        <f>AVERAGE(K81:K83)</f>
        <v>0.15019051332808497</v>
      </c>
      <c r="O14" s="3">
        <f>STDEV(K81:K83)</f>
        <v>1.8181202976561247E-3</v>
      </c>
      <c r="Q14" s="3">
        <v>10</v>
      </c>
      <c r="R14" s="7">
        <f>AVERAGE(J80:J82)</f>
        <v>4.6080123019897334E-2</v>
      </c>
      <c r="S14" s="3">
        <f>STDEV(J81:J83)</f>
        <v>5.5755689128121025E-4</v>
      </c>
    </row>
    <row r="15" spans="1:19" ht="15.6" x14ac:dyDescent="0.3">
      <c r="A15" t="s">
        <v>5</v>
      </c>
      <c r="B15">
        <v>16</v>
      </c>
      <c r="C15">
        <v>9</v>
      </c>
      <c r="D15">
        <v>16695212.4023438</v>
      </c>
      <c r="E15">
        <v>0</v>
      </c>
      <c r="F15">
        <v>177.83</v>
      </c>
      <c r="G15" t="s">
        <v>8</v>
      </c>
      <c r="H15">
        <v>0</v>
      </c>
      <c r="I15">
        <f t="shared" si="1"/>
        <v>0.99999946092359104</v>
      </c>
      <c r="J15" s="6">
        <f t="shared" si="1"/>
        <v>0</v>
      </c>
      <c r="K15" s="2">
        <f>(J15*$N$3)/$N$2</f>
        <v>0</v>
      </c>
      <c r="M15" s="3">
        <v>20</v>
      </c>
      <c r="N15" s="5">
        <f>AVERAGE(K93:K95)</f>
        <v>0.27224051477267647</v>
      </c>
      <c r="O15" s="3">
        <f>STDEV(K93:K95)</f>
        <v>1.1888763040182415E-2</v>
      </c>
      <c r="Q15" s="3">
        <v>20</v>
      </c>
      <c r="R15" s="7">
        <f>AVERAGE(J93:J95)</f>
        <v>8.3487091196954119E-2</v>
      </c>
      <c r="S15" s="3">
        <f>STDEV(J93:J95)</f>
        <v>3.6458873323226108E-3</v>
      </c>
    </row>
    <row r="16" spans="1:19" ht="15.6" x14ac:dyDescent="0.3">
      <c r="A16" t="s">
        <v>5</v>
      </c>
      <c r="B16">
        <v>16</v>
      </c>
      <c r="C16">
        <v>11</v>
      </c>
      <c r="D16">
        <v>17419677.904296901</v>
      </c>
      <c r="E16">
        <v>0</v>
      </c>
      <c r="F16">
        <v>192.7</v>
      </c>
      <c r="G16" t="s">
        <v>8</v>
      </c>
      <c r="H16">
        <v>0</v>
      </c>
      <c r="I16">
        <f t="shared" si="1"/>
        <v>0.99999936853062876</v>
      </c>
      <c r="J16" s="6">
        <f t="shared" si="1"/>
        <v>0</v>
      </c>
      <c r="K16" s="2">
        <f>(J16*$N$3)/$N$2</f>
        <v>0</v>
      </c>
      <c r="M16" s="3">
        <v>40</v>
      </c>
      <c r="N16" s="5">
        <f>AVERAGE(K107:K109)</f>
        <v>0.54467723218585584</v>
      </c>
      <c r="O16">
        <f>STDEV(K107:K109)</f>
        <v>1.9097761066147804E-2</v>
      </c>
      <c r="Q16" s="3">
        <v>40</v>
      </c>
      <c r="R16" s="7">
        <f>AVERAGE(J107:J109)</f>
        <v>0.16703435120366247</v>
      </c>
      <c r="S16">
        <f>STDEV(J107:J109)</f>
        <v>5.8566467269519865E-3</v>
      </c>
    </row>
    <row r="17" spans="1:19" ht="15.6" x14ac:dyDescent="0.3">
      <c r="A17" t="s">
        <v>5</v>
      </c>
      <c r="B17">
        <v>2001</v>
      </c>
      <c r="C17">
        <v>2</v>
      </c>
      <c r="D17">
        <v>10786.937011718799</v>
      </c>
      <c r="E17">
        <v>0</v>
      </c>
      <c r="F17">
        <v>207.1</v>
      </c>
      <c r="M17" s="3">
        <v>60</v>
      </c>
      <c r="N17" s="5">
        <f>AVERAGE(K121:K123)</f>
        <v>0.64246844606616027</v>
      </c>
      <c r="O17">
        <f>STDEV(K121:K123)</f>
        <v>2.0089508847209198E-2</v>
      </c>
      <c r="Q17" s="3">
        <v>60</v>
      </c>
      <c r="R17" s="7">
        <f>AVERAGE(J121:J123)</f>
        <v>0.19702365679362246</v>
      </c>
      <c r="S17">
        <f>STDEV(J121:J123)</f>
        <v>6.1607827131441462E-3</v>
      </c>
    </row>
    <row r="18" spans="1:19" ht="15.6" x14ac:dyDescent="0.3">
      <c r="A18" t="s">
        <v>5</v>
      </c>
      <c r="B18">
        <v>2001</v>
      </c>
      <c r="C18">
        <v>3</v>
      </c>
      <c r="D18">
        <v>0</v>
      </c>
      <c r="E18">
        <v>0</v>
      </c>
      <c r="F18">
        <v>221.39</v>
      </c>
      <c r="M18" s="3">
        <v>300</v>
      </c>
      <c r="N18" s="5">
        <f>AVERAGE(K135:K137)</f>
        <v>2.691258238487197</v>
      </c>
      <c r="O18">
        <f>STDEV(K135:K137)</f>
        <v>1.8313963609679365E-2</v>
      </c>
      <c r="Q18" s="3">
        <v>300</v>
      </c>
      <c r="R18" s="7">
        <f>AVERAGE(J135:J137)</f>
        <v>0.82531919313607371</v>
      </c>
      <c r="S18">
        <f>STDEV(J135:J137)</f>
        <v>5.6162821736350024E-3</v>
      </c>
    </row>
    <row r="19" spans="1:19" x14ac:dyDescent="0.3">
      <c r="A19" t="s">
        <v>5</v>
      </c>
      <c r="B19">
        <v>2001</v>
      </c>
      <c r="C19">
        <v>2</v>
      </c>
      <c r="D19">
        <v>0</v>
      </c>
      <c r="E19">
        <v>0</v>
      </c>
      <c r="F19">
        <v>235.83</v>
      </c>
    </row>
    <row r="20" spans="1:19" x14ac:dyDescent="0.3">
      <c r="A20" t="s">
        <v>5</v>
      </c>
      <c r="B20">
        <v>2001</v>
      </c>
      <c r="C20">
        <v>3</v>
      </c>
      <c r="D20">
        <v>0</v>
      </c>
      <c r="E20">
        <v>0</v>
      </c>
      <c r="F20">
        <v>250.02</v>
      </c>
    </row>
    <row r="21" spans="1:19" x14ac:dyDescent="0.3">
      <c r="A21" t="s">
        <v>5</v>
      </c>
      <c r="B21">
        <v>15</v>
      </c>
      <c r="C21">
        <v>1</v>
      </c>
      <c r="D21">
        <v>3886308.59765625</v>
      </c>
      <c r="E21">
        <v>0</v>
      </c>
      <c r="F21">
        <v>264.97000000000003</v>
      </c>
      <c r="G21" t="s">
        <v>7</v>
      </c>
      <c r="H21">
        <v>0.5</v>
      </c>
      <c r="I21">
        <f t="shared" ref="I21:J23" si="2">D21/(C21+D21)</f>
        <v>0.99999974268648062</v>
      </c>
      <c r="J21" s="6">
        <f t="shared" si="2"/>
        <v>0</v>
      </c>
      <c r="K21" s="2">
        <f>(J21*$N$3)/$N$2</f>
        <v>0</v>
      </c>
    </row>
    <row r="22" spans="1:19" x14ac:dyDescent="0.3">
      <c r="A22" t="s">
        <v>5</v>
      </c>
      <c r="B22">
        <v>15</v>
      </c>
      <c r="C22">
        <v>3</v>
      </c>
      <c r="D22">
        <v>6907293.6855468797</v>
      </c>
      <c r="E22">
        <v>0</v>
      </c>
      <c r="F22">
        <v>279.81</v>
      </c>
      <c r="G22" t="s">
        <v>7</v>
      </c>
      <c r="H22">
        <v>0.5</v>
      </c>
      <c r="I22">
        <f t="shared" si="2"/>
        <v>0.99999956567668413</v>
      </c>
      <c r="J22" s="6">
        <f t="shared" si="2"/>
        <v>0</v>
      </c>
      <c r="K22" s="2">
        <f>(J22*$N$3)/$N$2</f>
        <v>0</v>
      </c>
    </row>
    <row r="23" spans="1:19" x14ac:dyDescent="0.3">
      <c r="A23" t="s">
        <v>5</v>
      </c>
      <c r="B23">
        <v>15</v>
      </c>
      <c r="C23">
        <v>5</v>
      </c>
      <c r="D23">
        <v>5647528.1884765597</v>
      </c>
      <c r="E23">
        <v>0</v>
      </c>
      <c r="F23">
        <v>294.72000000000003</v>
      </c>
      <c r="G23" t="s">
        <v>7</v>
      </c>
      <c r="H23">
        <v>0.5</v>
      </c>
      <c r="I23">
        <f t="shared" si="2"/>
        <v>0.99999911465770397</v>
      </c>
      <c r="J23" s="6">
        <f t="shared" si="2"/>
        <v>0</v>
      </c>
      <c r="K23" s="2">
        <f>(J23*$N$3)/$N$2</f>
        <v>0</v>
      </c>
    </row>
    <row r="24" spans="1:19" x14ac:dyDescent="0.3">
      <c r="A24" t="s">
        <v>5</v>
      </c>
      <c r="B24">
        <v>2001</v>
      </c>
      <c r="C24">
        <v>2</v>
      </c>
      <c r="D24">
        <v>0</v>
      </c>
      <c r="E24">
        <v>0</v>
      </c>
      <c r="F24">
        <v>309.07</v>
      </c>
    </row>
    <row r="25" spans="1:19" x14ac:dyDescent="0.3">
      <c r="A25" t="s">
        <v>5</v>
      </c>
      <c r="B25">
        <v>2001</v>
      </c>
      <c r="C25">
        <v>3</v>
      </c>
      <c r="D25">
        <v>0</v>
      </c>
      <c r="E25">
        <v>0</v>
      </c>
      <c r="F25">
        <v>323.36</v>
      </c>
    </row>
    <row r="26" spans="1:19" x14ac:dyDescent="0.3">
      <c r="A26" t="s">
        <v>5</v>
      </c>
      <c r="B26">
        <v>15</v>
      </c>
      <c r="C26">
        <v>7</v>
      </c>
      <c r="D26">
        <v>11831140.392578101</v>
      </c>
      <c r="E26">
        <v>0</v>
      </c>
      <c r="F26">
        <v>338.21</v>
      </c>
      <c r="G26" t="s">
        <v>8</v>
      </c>
      <c r="H26">
        <v>0.5</v>
      </c>
      <c r="I26">
        <f t="shared" ref="I26:J28" si="3">D26/(C26+D26)</f>
        <v>0.99999940834140866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5</v>
      </c>
      <c r="B27">
        <v>15</v>
      </c>
      <c r="C27">
        <v>9</v>
      </c>
      <c r="D27">
        <v>11293185.5244141</v>
      </c>
      <c r="E27">
        <v>0</v>
      </c>
      <c r="F27">
        <v>353.11</v>
      </c>
      <c r="G27" t="s">
        <v>8</v>
      </c>
      <c r="H27">
        <v>0.5</v>
      </c>
      <c r="I27">
        <f t="shared" si="3"/>
        <v>0.99999920305986223</v>
      </c>
      <c r="J27" s="6">
        <f t="shared" si="3"/>
        <v>0</v>
      </c>
      <c r="K27" s="2">
        <f>(J27*$N$3)/$N$2</f>
        <v>0</v>
      </c>
    </row>
    <row r="28" spans="1:19" x14ac:dyDescent="0.3">
      <c r="A28" t="s">
        <v>5</v>
      </c>
      <c r="B28">
        <v>15</v>
      </c>
      <c r="C28">
        <v>11</v>
      </c>
      <c r="D28">
        <v>10947548.859375</v>
      </c>
      <c r="E28">
        <v>0</v>
      </c>
      <c r="F28">
        <v>367.94</v>
      </c>
      <c r="G28" t="s">
        <v>8</v>
      </c>
      <c r="H28">
        <v>0.5</v>
      </c>
      <c r="I28">
        <f t="shared" si="3"/>
        <v>0.99999899520987856</v>
      </c>
      <c r="J28" s="6">
        <f t="shared" si="3"/>
        <v>0</v>
      </c>
      <c r="K28" s="2">
        <f>(J28*$N$3)/$N$2</f>
        <v>0</v>
      </c>
    </row>
    <row r="29" spans="1:19" x14ac:dyDescent="0.3">
      <c r="A29" t="s">
        <v>5</v>
      </c>
      <c r="B29">
        <v>2001</v>
      </c>
      <c r="C29">
        <v>2</v>
      </c>
      <c r="D29">
        <v>0</v>
      </c>
      <c r="E29">
        <v>0</v>
      </c>
      <c r="F29">
        <v>382.39</v>
      </c>
    </row>
    <row r="30" spans="1:19" x14ac:dyDescent="0.3">
      <c r="A30" t="s">
        <v>5</v>
      </c>
      <c r="B30">
        <v>2001</v>
      </c>
      <c r="C30">
        <v>3</v>
      </c>
      <c r="D30">
        <v>0</v>
      </c>
      <c r="E30">
        <v>0</v>
      </c>
      <c r="F30">
        <v>396.59</v>
      </c>
    </row>
    <row r="31" spans="1:19" x14ac:dyDescent="0.3">
      <c r="A31" t="s">
        <v>5</v>
      </c>
      <c r="B31">
        <v>2001</v>
      </c>
      <c r="C31">
        <v>2</v>
      </c>
      <c r="D31">
        <v>0</v>
      </c>
      <c r="E31">
        <v>0</v>
      </c>
      <c r="F31">
        <v>411.03</v>
      </c>
    </row>
    <row r="32" spans="1:19" x14ac:dyDescent="0.3">
      <c r="A32" t="s">
        <v>5</v>
      </c>
      <c r="B32">
        <v>2001</v>
      </c>
      <c r="C32">
        <v>3</v>
      </c>
      <c r="D32">
        <v>0</v>
      </c>
      <c r="E32">
        <v>0</v>
      </c>
      <c r="F32">
        <v>425.2</v>
      </c>
    </row>
    <row r="33" spans="1:11" x14ac:dyDescent="0.3">
      <c r="A33" t="s">
        <v>5</v>
      </c>
      <c r="B33">
        <v>14</v>
      </c>
      <c r="C33">
        <v>1</v>
      </c>
      <c r="D33">
        <v>5740899.9384765597</v>
      </c>
      <c r="E33">
        <v>0</v>
      </c>
      <c r="F33">
        <v>440.17</v>
      </c>
      <c r="G33" t="s">
        <v>7</v>
      </c>
      <c r="H33">
        <v>1</v>
      </c>
      <c r="I33">
        <f t="shared" ref="I33:J35" si="4">D33/(C33+D33)</f>
        <v>0.99999982581131241</v>
      </c>
      <c r="J33" s="6">
        <f t="shared" si="4"/>
        <v>0</v>
      </c>
      <c r="K33" s="2">
        <f>(J33*$N$3)/$N$2</f>
        <v>0</v>
      </c>
    </row>
    <row r="34" spans="1:11" x14ac:dyDescent="0.3">
      <c r="A34" t="s">
        <v>5</v>
      </c>
      <c r="B34">
        <v>14</v>
      </c>
      <c r="C34">
        <v>3</v>
      </c>
      <c r="D34">
        <v>7347482.63818359</v>
      </c>
      <c r="E34">
        <v>0</v>
      </c>
      <c r="F34">
        <v>455</v>
      </c>
      <c r="G34" t="s">
        <v>7</v>
      </c>
      <c r="H34">
        <v>1</v>
      </c>
      <c r="I34">
        <f t="shared" si="4"/>
        <v>0.99999959169705832</v>
      </c>
      <c r="J34" s="6">
        <f t="shared" si="4"/>
        <v>0</v>
      </c>
      <c r="K34" s="2">
        <f>(J34*$N$3)/$N$2</f>
        <v>0</v>
      </c>
    </row>
    <row r="35" spans="1:11" x14ac:dyDescent="0.3">
      <c r="A35" t="s">
        <v>5</v>
      </c>
      <c r="B35">
        <v>14</v>
      </c>
      <c r="C35">
        <v>5</v>
      </c>
      <c r="D35">
        <v>3541151.6660156301</v>
      </c>
      <c r="E35">
        <v>0</v>
      </c>
      <c r="F35">
        <v>469.96</v>
      </c>
      <c r="G35" t="s">
        <v>7</v>
      </c>
      <c r="H35">
        <v>1</v>
      </c>
      <c r="I35">
        <f t="shared" si="4"/>
        <v>0.9999985880319705</v>
      </c>
      <c r="J35" s="6">
        <f t="shared" si="4"/>
        <v>0</v>
      </c>
      <c r="K35" s="2">
        <f>(J35*$N$3)/$N$2</f>
        <v>0</v>
      </c>
    </row>
    <row r="36" spans="1:11" x14ac:dyDescent="0.3">
      <c r="A36" t="s">
        <v>5</v>
      </c>
      <c r="B36">
        <v>2001</v>
      </c>
      <c r="C36">
        <v>2</v>
      </c>
      <c r="D36">
        <v>0</v>
      </c>
      <c r="E36">
        <v>0</v>
      </c>
      <c r="F36">
        <v>484.4</v>
      </c>
    </row>
    <row r="37" spans="1:11" x14ac:dyDescent="0.3">
      <c r="A37" t="s">
        <v>5</v>
      </c>
      <c r="B37">
        <v>2001</v>
      </c>
      <c r="C37">
        <v>3</v>
      </c>
      <c r="D37">
        <v>0</v>
      </c>
      <c r="E37">
        <v>0</v>
      </c>
      <c r="F37">
        <v>498.51</v>
      </c>
    </row>
    <row r="38" spans="1:11" x14ac:dyDescent="0.3">
      <c r="A38" t="s">
        <v>5</v>
      </c>
      <c r="B38">
        <v>14</v>
      </c>
      <c r="C38">
        <v>7</v>
      </c>
      <c r="D38">
        <v>11847877.3276367</v>
      </c>
      <c r="E38">
        <v>0</v>
      </c>
      <c r="F38">
        <v>513.48</v>
      </c>
      <c r="G38" t="s">
        <v>8</v>
      </c>
      <c r="H38">
        <v>1</v>
      </c>
      <c r="I38">
        <f t="shared" ref="I38:J40" si="5">D38/(C38+D38)</f>
        <v>0.9999994091772163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5</v>
      </c>
      <c r="B39">
        <v>14</v>
      </c>
      <c r="C39">
        <v>9</v>
      </c>
      <c r="D39">
        <v>11768214.037109399</v>
      </c>
      <c r="E39">
        <v>0</v>
      </c>
      <c r="F39">
        <v>528.29999999999995</v>
      </c>
      <c r="G39" t="s">
        <v>8</v>
      </c>
      <c r="H39">
        <v>1</v>
      </c>
      <c r="I39">
        <f t="shared" si="5"/>
        <v>0.99999923522863465</v>
      </c>
      <c r="J39" s="6">
        <f t="shared" si="5"/>
        <v>0</v>
      </c>
      <c r="K39" s="2">
        <f>(J39*$N$3)/$N$2</f>
        <v>0</v>
      </c>
    </row>
    <row r="40" spans="1:11" x14ac:dyDescent="0.3">
      <c r="A40" t="s">
        <v>5</v>
      </c>
      <c r="B40">
        <v>14</v>
      </c>
      <c r="C40">
        <v>11</v>
      </c>
      <c r="D40">
        <v>11211114.2460938</v>
      </c>
      <c r="E40">
        <v>0</v>
      </c>
      <c r="F40">
        <v>543.23</v>
      </c>
      <c r="G40" t="s">
        <v>8</v>
      </c>
      <c r="H40">
        <v>1</v>
      </c>
      <c r="I40">
        <f t="shared" si="5"/>
        <v>0.99999901883176234</v>
      </c>
      <c r="J40" s="6">
        <f t="shared" si="5"/>
        <v>0</v>
      </c>
      <c r="K40" s="2">
        <f>(J40*$N$3)/$N$2</f>
        <v>0</v>
      </c>
    </row>
    <row r="41" spans="1:11" x14ac:dyDescent="0.3">
      <c r="A41" t="s">
        <v>5</v>
      </c>
      <c r="B41">
        <v>2001</v>
      </c>
      <c r="C41">
        <v>2</v>
      </c>
      <c r="D41">
        <v>0</v>
      </c>
      <c r="E41">
        <v>0</v>
      </c>
      <c r="F41">
        <v>557.69000000000005</v>
      </c>
    </row>
    <row r="42" spans="1:11" x14ac:dyDescent="0.3">
      <c r="A42" t="s">
        <v>5</v>
      </c>
      <c r="B42">
        <v>2001</v>
      </c>
      <c r="C42">
        <v>3</v>
      </c>
      <c r="D42">
        <v>0</v>
      </c>
      <c r="E42">
        <v>0</v>
      </c>
      <c r="F42">
        <v>571.89</v>
      </c>
    </row>
    <row r="43" spans="1:11" x14ac:dyDescent="0.3">
      <c r="A43" t="s">
        <v>5</v>
      </c>
      <c r="B43">
        <v>2001</v>
      </c>
      <c r="C43">
        <v>2</v>
      </c>
      <c r="D43">
        <v>0</v>
      </c>
      <c r="E43">
        <v>0</v>
      </c>
      <c r="F43">
        <v>586.30999999999995</v>
      </c>
    </row>
    <row r="44" spans="1:11" x14ac:dyDescent="0.3">
      <c r="A44" t="s">
        <v>5</v>
      </c>
      <c r="B44">
        <v>2001</v>
      </c>
      <c r="C44">
        <v>3</v>
      </c>
      <c r="D44">
        <v>0</v>
      </c>
      <c r="E44">
        <v>0</v>
      </c>
      <c r="F44">
        <v>600.33000000000004</v>
      </c>
    </row>
    <row r="45" spans="1:11" x14ac:dyDescent="0.3">
      <c r="A45" t="s">
        <v>5</v>
      </c>
      <c r="B45">
        <v>13</v>
      </c>
      <c r="C45">
        <v>1</v>
      </c>
      <c r="D45">
        <v>7544974.86328125</v>
      </c>
      <c r="E45">
        <v>37032.684082031301</v>
      </c>
      <c r="F45">
        <v>615.14</v>
      </c>
      <c r="G45" t="s">
        <v>7</v>
      </c>
      <c r="H45">
        <v>1.5</v>
      </c>
      <c r="I45">
        <f t="shared" ref="I45:J47" si="6">D45/(C45+D45)</f>
        <v>0.99999986746147129</v>
      </c>
      <c r="J45" s="6">
        <f t="shared" si="6"/>
        <v>4.8842847821893541E-3</v>
      </c>
      <c r="K45" s="2">
        <f>(J45*$N$3)/$N$2</f>
        <v>1.592701559409572E-2</v>
      </c>
    </row>
    <row r="46" spans="1:11" x14ac:dyDescent="0.3">
      <c r="A46" t="s">
        <v>5</v>
      </c>
      <c r="B46">
        <v>13</v>
      </c>
      <c r="C46">
        <v>3</v>
      </c>
      <c r="D46">
        <v>7333860.1191406297</v>
      </c>
      <c r="E46">
        <v>37165.1005859375</v>
      </c>
      <c r="F46">
        <v>630.14</v>
      </c>
      <c r="G46" t="s">
        <v>7</v>
      </c>
      <c r="H46">
        <v>1.5</v>
      </c>
      <c r="I46">
        <f t="shared" si="6"/>
        <v>0.99999959093864299</v>
      </c>
      <c r="J46" s="6">
        <f t="shared" si="6"/>
        <v>5.0420531036137421E-3</v>
      </c>
      <c r="K46" s="2">
        <f>(J46*$N$3)/$N$2</f>
        <v>1.6441477511783941E-2</v>
      </c>
    </row>
    <row r="47" spans="1:11" x14ac:dyDescent="0.3">
      <c r="A47" t="s">
        <v>5</v>
      </c>
      <c r="B47">
        <v>13</v>
      </c>
      <c r="C47">
        <v>5</v>
      </c>
      <c r="D47">
        <v>5053171.2919921903</v>
      </c>
      <c r="E47">
        <v>10298.327636718799</v>
      </c>
      <c r="F47">
        <v>644.99</v>
      </c>
      <c r="G47" t="s">
        <v>7</v>
      </c>
      <c r="H47">
        <v>1.5</v>
      </c>
      <c r="I47">
        <f t="shared" si="6"/>
        <v>0.99999901052333995</v>
      </c>
      <c r="J47" s="6">
        <f t="shared" si="6"/>
        <v>2.0338480153601754E-3</v>
      </c>
      <c r="K47" s="2">
        <f>(J47*$N$3)/$N$2</f>
        <v>6.632113093565789E-3</v>
      </c>
    </row>
    <row r="48" spans="1:11" x14ac:dyDescent="0.3">
      <c r="A48" t="s">
        <v>5</v>
      </c>
      <c r="B48">
        <v>2001</v>
      </c>
      <c r="C48">
        <v>2</v>
      </c>
      <c r="D48">
        <v>0</v>
      </c>
      <c r="E48">
        <v>0</v>
      </c>
      <c r="F48">
        <v>659.32</v>
      </c>
    </row>
    <row r="49" spans="1:11" x14ac:dyDescent="0.3">
      <c r="A49" t="s">
        <v>5</v>
      </c>
      <c r="B49">
        <v>2001</v>
      </c>
      <c r="C49">
        <v>3</v>
      </c>
      <c r="D49">
        <v>0</v>
      </c>
      <c r="E49">
        <v>0</v>
      </c>
      <c r="F49">
        <v>673.62</v>
      </c>
    </row>
    <row r="50" spans="1:11" x14ac:dyDescent="0.3">
      <c r="A50" t="s">
        <v>5</v>
      </c>
      <c r="B50">
        <v>13</v>
      </c>
      <c r="C50">
        <v>7</v>
      </c>
      <c r="D50">
        <v>11645849.423828101</v>
      </c>
      <c r="E50">
        <v>0</v>
      </c>
      <c r="F50">
        <v>688.45</v>
      </c>
      <c r="G50" t="s">
        <v>8</v>
      </c>
      <c r="H50">
        <v>1.5</v>
      </c>
      <c r="I50">
        <f t="shared" ref="I50:J52" si="7">D50/(C50+D50)</f>
        <v>0.99999939892784651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5</v>
      </c>
      <c r="B51">
        <v>13</v>
      </c>
      <c r="C51">
        <v>9</v>
      </c>
      <c r="D51">
        <v>11284888.981445299</v>
      </c>
      <c r="E51">
        <v>0</v>
      </c>
      <c r="F51">
        <v>703.35</v>
      </c>
      <c r="G51" t="s">
        <v>8</v>
      </c>
      <c r="H51">
        <v>1.5</v>
      </c>
      <c r="I51">
        <f t="shared" si="7"/>
        <v>0.9999992024739599</v>
      </c>
      <c r="J51" s="6">
        <f t="shared" si="7"/>
        <v>0</v>
      </c>
      <c r="K51" s="2">
        <f>(J51*$N$3)/$N$2</f>
        <v>0</v>
      </c>
    </row>
    <row r="52" spans="1:11" x14ac:dyDescent="0.3">
      <c r="A52" t="s">
        <v>5</v>
      </c>
      <c r="B52">
        <v>13</v>
      </c>
      <c r="C52">
        <v>11</v>
      </c>
      <c r="D52">
        <v>10902251.5429688</v>
      </c>
      <c r="E52">
        <v>0</v>
      </c>
      <c r="F52">
        <v>718.33</v>
      </c>
      <c r="G52" t="s">
        <v>8</v>
      </c>
      <c r="H52">
        <v>1.5</v>
      </c>
      <c r="I52">
        <f t="shared" si="7"/>
        <v>0.99999899103512169</v>
      </c>
      <c r="J52" s="6">
        <f t="shared" si="7"/>
        <v>0</v>
      </c>
      <c r="K52" s="2">
        <f>(J52*$N$3)/$N$2</f>
        <v>0</v>
      </c>
    </row>
    <row r="53" spans="1:11" x14ac:dyDescent="0.3">
      <c r="A53" t="s">
        <v>5</v>
      </c>
      <c r="B53">
        <v>2001</v>
      </c>
      <c r="C53">
        <v>2</v>
      </c>
      <c r="D53">
        <v>0</v>
      </c>
      <c r="E53">
        <v>0</v>
      </c>
      <c r="F53">
        <v>732.67</v>
      </c>
    </row>
    <row r="54" spans="1:11" x14ac:dyDescent="0.3">
      <c r="A54" t="s">
        <v>5</v>
      </c>
      <c r="B54">
        <v>2001</v>
      </c>
      <c r="C54">
        <v>3</v>
      </c>
      <c r="D54">
        <v>0</v>
      </c>
      <c r="E54">
        <v>0</v>
      </c>
      <c r="F54">
        <v>746.96</v>
      </c>
    </row>
    <row r="55" spans="1:11" x14ac:dyDescent="0.3">
      <c r="A55" t="s">
        <v>5</v>
      </c>
      <c r="B55">
        <v>2001</v>
      </c>
      <c r="C55">
        <v>2</v>
      </c>
      <c r="D55">
        <v>0</v>
      </c>
      <c r="E55">
        <v>0</v>
      </c>
      <c r="F55">
        <v>761.36</v>
      </c>
    </row>
    <row r="56" spans="1:11" x14ac:dyDescent="0.3">
      <c r="A56" t="s">
        <v>5</v>
      </c>
      <c r="B56">
        <v>2001</v>
      </c>
      <c r="C56">
        <v>3</v>
      </c>
      <c r="D56">
        <v>0</v>
      </c>
      <c r="E56">
        <v>0</v>
      </c>
      <c r="F56">
        <v>775.64</v>
      </c>
    </row>
    <row r="57" spans="1:11" x14ac:dyDescent="0.3">
      <c r="A57" t="s">
        <v>5</v>
      </c>
      <c r="B57">
        <v>12</v>
      </c>
      <c r="C57">
        <v>1</v>
      </c>
      <c r="D57">
        <v>6011625.13671875</v>
      </c>
      <c r="E57">
        <v>68078.202636718794</v>
      </c>
      <c r="F57">
        <v>790.48</v>
      </c>
      <c r="G57" t="s">
        <v>7</v>
      </c>
      <c r="H57">
        <v>3</v>
      </c>
      <c r="I57">
        <f t="shared" ref="I57:J59" si="8">D57/(C57+D57)</f>
        <v>0.99999983365565703</v>
      </c>
      <c r="J57" s="6">
        <f t="shared" si="8"/>
        <v>1.1197619166058851E-2</v>
      </c>
      <c r="K57" s="2">
        <f>(J57*$N$3)/$N$2</f>
        <v>3.6513975541496255E-2</v>
      </c>
    </row>
    <row r="58" spans="1:11" x14ac:dyDescent="0.3">
      <c r="A58" t="s">
        <v>5</v>
      </c>
      <c r="B58">
        <v>12</v>
      </c>
      <c r="C58">
        <v>3</v>
      </c>
      <c r="D58">
        <v>3627987.08447266</v>
      </c>
      <c r="E58">
        <v>42447.369628906301</v>
      </c>
      <c r="F58">
        <v>805.45</v>
      </c>
      <c r="G58" t="s">
        <v>7</v>
      </c>
      <c r="H58">
        <v>3</v>
      </c>
      <c r="I58">
        <f t="shared" si="8"/>
        <v>0.99999917309586572</v>
      </c>
      <c r="J58" s="6">
        <f t="shared" si="8"/>
        <v>1.1564671746548433E-2</v>
      </c>
      <c r="K58" s="2">
        <f>(J58*$N$3)/$N$2</f>
        <v>3.7710886130049234E-2</v>
      </c>
    </row>
    <row r="59" spans="1:11" x14ac:dyDescent="0.3">
      <c r="A59" t="s">
        <v>5</v>
      </c>
      <c r="B59">
        <v>12</v>
      </c>
      <c r="C59">
        <v>5</v>
      </c>
      <c r="D59">
        <v>3674265.8955078102</v>
      </c>
      <c r="E59">
        <v>33363.181152343801</v>
      </c>
      <c r="F59">
        <v>820.28</v>
      </c>
      <c r="G59" t="s">
        <v>7</v>
      </c>
      <c r="H59">
        <v>3</v>
      </c>
      <c r="I59">
        <f t="shared" si="8"/>
        <v>0.99999863918580256</v>
      </c>
      <c r="J59" s="6">
        <f t="shared" si="8"/>
        <v>8.9985218214971713E-3</v>
      </c>
      <c r="K59" s="2">
        <f>(J59*$N$3)/$N$2</f>
        <v>2.9343005939664685E-2</v>
      </c>
    </row>
    <row r="60" spans="1:11" x14ac:dyDescent="0.3">
      <c r="A60" t="s">
        <v>5</v>
      </c>
      <c r="B60">
        <v>2001</v>
      </c>
      <c r="C60">
        <v>2</v>
      </c>
      <c r="D60">
        <v>0</v>
      </c>
      <c r="E60">
        <v>0</v>
      </c>
      <c r="F60">
        <v>834.74</v>
      </c>
    </row>
    <row r="61" spans="1:11" x14ac:dyDescent="0.3">
      <c r="A61" t="s">
        <v>5</v>
      </c>
      <c r="B61">
        <v>2001</v>
      </c>
      <c r="C61">
        <v>3</v>
      </c>
      <c r="D61">
        <v>0</v>
      </c>
      <c r="E61">
        <v>0</v>
      </c>
      <c r="F61">
        <v>848.96</v>
      </c>
    </row>
    <row r="62" spans="1:11" x14ac:dyDescent="0.3">
      <c r="A62" t="s">
        <v>5</v>
      </c>
      <c r="B62">
        <v>12</v>
      </c>
      <c r="C62">
        <v>7</v>
      </c>
      <c r="D62">
        <v>9308506.0800781306</v>
      </c>
      <c r="E62">
        <v>0</v>
      </c>
      <c r="F62">
        <v>863.79</v>
      </c>
      <c r="G62" t="s">
        <v>8</v>
      </c>
      <c r="H62">
        <v>3</v>
      </c>
      <c r="I62">
        <f t="shared" ref="I62:J64" si="9">D62/(C62+D62)</f>
        <v>0.99999924800019724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5</v>
      </c>
      <c r="B63">
        <v>12</v>
      </c>
      <c r="C63">
        <v>9</v>
      </c>
      <c r="D63">
        <v>9657895.3613281306</v>
      </c>
      <c r="E63">
        <v>0</v>
      </c>
      <c r="F63">
        <v>878.75</v>
      </c>
      <c r="G63" t="s">
        <v>8</v>
      </c>
      <c r="H63">
        <v>3</v>
      </c>
      <c r="I63">
        <f t="shared" si="9"/>
        <v>0.99999906812081962</v>
      </c>
      <c r="J63" s="6">
        <f t="shared" si="9"/>
        <v>0</v>
      </c>
      <c r="K63" s="2">
        <f>(J63*$N$3)/$N$2</f>
        <v>0</v>
      </c>
    </row>
    <row r="64" spans="1:11" x14ac:dyDescent="0.3">
      <c r="A64" t="s">
        <v>5</v>
      </c>
      <c r="B64">
        <v>12</v>
      </c>
      <c r="C64">
        <v>11</v>
      </c>
      <c r="D64">
        <v>9949627.4873046894</v>
      </c>
      <c r="E64">
        <v>0</v>
      </c>
      <c r="F64">
        <v>893.74</v>
      </c>
      <c r="G64" t="s">
        <v>8</v>
      </c>
      <c r="H64">
        <v>3</v>
      </c>
      <c r="I64">
        <f t="shared" si="9"/>
        <v>0.99999889443219325</v>
      </c>
      <c r="J64" s="6">
        <f t="shared" si="9"/>
        <v>0</v>
      </c>
      <c r="K64" s="2">
        <f>(J64*$N$3)/$N$2</f>
        <v>0</v>
      </c>
    </row>
    <row r="65" spans="1:11" x14ac:dyDescent="0.3">
      <c r="A65" t="s">
        <v>5</v>
      </c>
      <c r="B65">
        <v>2001</v>
      </c>
      <c r="C65">
        <v>2</v>
      </c>
      <c r="D65">
        <v>0</v>
      </c>
      <c r="E65">
        <v>0</v>
      </c>
      <c r="F65">
        <v>908.07</v>
      </c>
    </row>
    <row r="66" spans="1:11" x14ac:dyDescent="0.3">
      <c r="A66" t="s">
        <v>5</v>
      </c>
      <c r="B66">
        <v>2001</v>
      </c>
      <c r="C66">
        <v>3</v>
      </c>
      <c r="D66">
        <v>0</v>
      </c>
      <c r="E66">
        <v>0</v>
      </c>
      <c r="F66">
        <v>922.37</v>
      </c>
    </row>
    <row r="67" spans="1:11" x14ac:dyDescent="0.3">
      <c r="A67" t="s">
        <v>5</v>
      </c>
      <c r="B67">
        <v>2001</v>
      </c>
      <c r="C67">
        <v>2</v>
      </c>
      <c r="D67">
        <v>0</v>
      </c>
      <c r="E67">
        <v>0</v>
      </c>
      <c r="F67">
        <v>936.78</v>
      </c>
    </row>
    <row r="68" spans="1:11" x14ac:dyDescent="0.3">
      <c r="A68" t="s">
        <v>5</v>
      </c>
      <c r="B68">
        <v>2001</v>
      </c>
      <c r="C68">
        <v>3</v>
      </c>
      <c r="D68">
        <v>0</v>
      </c>
      <c r="E68">
        <v>0</v>
      </c>
      <c r="F68">
        <v>950.97</v>
      </c>
    </row>
    <row r="69" spans="1:11" x14ac:dyDescent="0.3">
      <c r="A69" t="s">
        <v>5</v>
      </c>
      <c r="B69">
        <v>11</v>
      </c>
      <c r="C69">
        <v>1</v>
      </c>
      <c r="D69">
        <v>6714425.80859375</v>
      </c>
      <c r="E69">
        <v>173940.423828125</v>
      </c>
      <c r="F69">
        <v>965.91</v>
      </c>
      <c r="G69" t="s">
        <v>7</v>
      </c>
      <c r="H69">
        <v>5</v>
      </c>
      <c r="I69">
        <f t="shared" ref="I69:J71" si="10">D69/(C69+D69)</f>
        <v>0.99999985106695943</v>
      </c>
      <c r="J69" s="6">
        <f t="shared" si="10"/>
        <v>2.525133216776853E-2</v>
      </c>
      <c r="K69" s="2">
        <f>(J69*$N$3)/$N$2</f>
        <v>8.2341300547071283E-2</v>
      </c>
    </row>
    <row r="70" spans="1:11" x14ac:dyDescent="0.3">
      <c r="A70" t="s">
        <v>5</v>
      </c>
      <c r="B70">
        <v>11</v>
      </c>
      <c r="C70">
        <v>3</v>
      </c>
      <c r="D70">
        <v>5580905.94677734</v>
      </c>
      <c r="E70">
        <v>126518.828125</v>
      </c>
      <c r="F70">
        <v>980.78</v>
      </c>
      <c r="G70" t="s">
        <v>7</v>
      </c>
      <c r="H70">
        <v>5</v>
      </c>
      <c r="I70">
        <f t="shared" si="10"/>
        <v>0.99999946245315441</v>
      </c>
      <c r="J70" s="6">
        <f t="shared" si="10"/>
        <v>2.2167410542378085E-2</v>
      </c>
      <c r="K70" s="2">
        <f>(J70*$N$3)/$N$2</f>
        <v>7.228503437731984E-2</v>
      </c>
    </row>
    <row r="71" spans="1:11" x14ac:dyDescent="0.3">
      <c r="A71" t="s">
        <v>5</v>
      </c>
      <c r="B71">
        <v>11</v>
      </c>
      <c r="C71">
        <v>5</v>
      </c>
      <c r="D71">
        <v>5078690.1323242197</v>
      </c>
      <c r="E71">
        <v>122458.89160156299</v>
      </c>
      <c r="F71">
        <v>995.62</v>
      </c>
      <c r="G71" t="s">
        <v>7</v>
      </c>
      <c r="H71">
        <v>5</v>
      </c>
      <c r="I71">
        <f t="shared" si="10"/>
        <v>0.99999901549514791</v>
      </c>
      <c r="J71" s="6">
        <f t="shared" si="10"/>
        <v>2.3544584290555871E-2</v>
      </c>
      <c r="K71" s="2">
        <f>(J71*$N$3)/$N$2</f>
        <v>7.6775818338769147E-2</v>
      </c>
    </row>
    <row r="72" spans="1:11" x14ac:dyDescent="0.3">
      <c r="A72" t="s">
        <v>5</v>
      </c>
      <c r="B72">
        <v>2001</v>
      </c>
      <c r="C72">
        <v>2</v>
      </c>
      <c r="D72">
        <v>0</v>
      </c>
      <c r="E72">
        <v>0</v>
      </c>
      <c r="F72">
        <v>1010.04</v>
      </c>
    </row>
    <row r="73" spans="1:11" x14ac:dyDescent="0.3">
      <c r="A73" t="s">
        <v>5</v>
      </c>
      <c r="B73">
        <v>2001</v>
      </c>
      <c r="C73">
        <v>3</v>
      </c>
      <c r="D73">
        <v>0</v>
      </c>
      <c r="E73">
        <v>0</v>
      </c>
      <c r="F73">
        <v>1024.3399999999999</v>
      </c>
    </row>
    <row r="74" spans="1:11" x14ac:dyDescent="0.3">
      <c r="A74" t="s">
        <v>5</v>
      </c>
      <c r="B74">
        <v>11</v>
      </c>
      <c r="C74">
        <v>7</v>
      </c>
      <c r="D74">
        <v>10722031.4726563</v>
      </c>
      <c r="E74">
        <v>0</v>
      </c>
      <c r="F74">
        <v>1039.26</v>
      </c>
      <c r="G74" t="s">
        <v>8</v>
      </c>
      <c r="H74">
        <v>5</v>
      </c>
      <c r="I74">
        <f t="shared" ref="I74:J76" si="11">D74/(C74+D74)</f>
        <v>0.99999934713907079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5</v>
      </c>
      <c r="B75">
        <v>11</v>
      </c>
      <c r="C75">
        <v>9</v>
      </c>
      <c r="D75">
        <v>9689670.7050781306</v>
      </c>
      <c r="E75">
        <v>0</v>
      </c>
      <c r="F75">
        <v>1054.06</v>
      </c>
      <c r="G75" t="s">
        <v>8</v>
      </c>
      <c r="H75">
        <v>5</v>
      </c>
      <c r="I75">
        <f t="shared" si="11"/>
        <v>0.99999907117672882</v>
      </c>
      <c r="J75" s="6">
        <f t="shared" si="11"/>
        <v>0</v>
      </c>
      <c r="K75" s="2">
        <f>(J75*$N$3)/$N$2</f>
        <v>0</v>
      </c>
    </row>
    <row r="76" spans="1:11" x14ac:dyDescent="0.3">
      <c r="A76" t="s">
        <v>5</v>
      </c>
      <c r="B76">
        <v>11</v>
      </c>
      <c r="C76">
        <v>11</v>
      </c>
      <c r="D76">
        <v>9101274.6127929706</v>
      </c>
      <c r="E76">
        <v>0</v>
      </c>
      <c r="F76">
        <v>1069.06</v>
      </c>
      <c r="G76" t="s">
        <v>8</v>
      </c>
      <c r="H76">
        <v>5</v>
      </c>
      <c r="I76">
        <f t="shared" si="11"/>
        <v>0.9999987913795404</v>
      </c>
      <c r="J76" s="6">
        <f t="shared" si="11"/>
        <v>0</v>
      </c>
      <c r="K76" s="2">
        <f>(J76*$N$3)/$N$2</f>
        <v>0</v>
      </c>
    </row>
    <row r="77" spans="1:11" x14ac:dyDescent="0.3">
      <c r="A77" t="s">
        <v>5</v>
      </c>
      <c r="B77">
        <v>2001</v>
      </c>
      <c r="C77">
        <v>2</v>
      </c>
      <c r="D77">
        <v>0</v>
      </c>
      <c r="E77">
        <v>0</v>
      </c>
      <c r="F77">
        <v>1083.3800000000001</v>
      </c>
    </row>
    <row r="78" spans="1:11" x14ac:dyDescent="0.3">
      <c r="A78" t="s">
        <v>5</v>
      </c>
      <c r="B78">
        <v>2001</v>
      </c>
      <c r="C78">
        <v>3</v>
      </c>
      <c r="D78">
        <v>0</v>
      </c>
      <c r="E78">
        <v>0</v>
      </c>
      <c r="F78">
        <v>1097.68</v>
      </c>
    </row>
    <row r="79" spans="1:11" x14ac:dyDescent="0.3">
      <c r="A79" t="s">
        <v>5</v>
      </c>
      <c r="B79">
        <v>2001</v>
      </c>
      <c r="C79">
        <v>2</v>
      </c>
      <c r="D79">
        <v>0</v>
      </c>
      <c r="E79">
        <v>0</v>
      </c>
      <c r="F79">
        <v>1112.07</v>
      </c>
    </row>
    <row r="80" spans="1:11" x14ac:dyDescent="0.3">
      <c r="A80" t="s">
        <v>5</v>
      </c>
      <c r="B80">
        <v>2001</v>
      </c>
      <c r="C80">
        <v>3</v>
      </c>
      <c r="D80">
        <v>0</v>
      </c>
      <c r="E80">
        <v>0</v>
      </c>
      <c r="F80">
        <v>1126.21</v>
      </c>
    </row>
    <row r="81" spans="1:11" x14ac:dyDescent="0.3">
      <c r="A81" t="s">
        <v>5</v>
      </c>
      <c r="B81">
        <v>10</v>
      </c>
      <c r="C81">
        <v>1</v>
      </c>
      <c r="D81">
        <v>3421978.9423828102</v>
      </c>
      <c r="E81">
        <v>163211.62109375</v>
      </c>
      <c r="F81">
        <v>1141.0899999999999</v>
      </c>
      <c r="G81" t="s">
        <v>7</v>
      </c>
      <c r="H81">
        <v>10</v>
      </c>
      <c r="I81">
        <f t="shared" ref="I81:J83" si="12">D81/(C81+D81)</f>
        <v>0.99999970777151914</v>
      </c>
      <c r="J81" s="6">
        <f t="shared" si="12"/>
        <v>4.5523834285529204E-2</v>
      </c>
      <c r="K81" s="2">
        <f>(J81*$N$3)/$N$2</f>
        <v>0.14844728571368218</v>
      </c>
    </row>
    <row r="82" spans="1:11" x14ac:dyDescent="0.3">
      <c r="A82" t="s">
        <v>5</v>
      </c>
      <c r="B82">
        <v>10</v>
      </c>
      <c r="C82">
        <v>3</v>
      </c>
      <c r="D82">
        <v>5096524.7626953097</v>
      </c>
      <c r="E82">
        <v>249310.578125</v>
      </c>
      <c r="F82">
        <v>1156.06</v>
      </c>
      <c r="G82" t="s">
        <v>7</v>
      </c>
      <c r="H82">
        <v>10</v>
      </c>
      <c r="I82">
        <f t="shared" si="12"/>
        <v>0.99999941136394432</v>
      </c>
      <c r="J82" s="6">
        <f t="shared" si="12"/>
        <v>4.6636411754265458E-2</v>
      </c>
      <c r="K82" s="2">
        <f>(J82*$N$3)/$N$2</f>
        <v>0.15207525572043085</v>
      </c>
    </row>
    <row r="83" spans="1:11" x14ac:dyDescent="0.3">
      <c r="A83" t="s">
        <v>5</v>
      </c>
      <c r="B83">
        <v>10</v>
      </c>
      <c r="C83">
        <v>5</v>
      </c>
      <c r="D83">
        <v>4104192.6777343801</v>
      </c>
      <c r="E83">
        <v>197963.84521484401</v>
      </c>
      <c r="F83">
        <v>1170.93</v>
      </c>
      <c r="G83" t="s">
        <v>7</v>
      </c>
      <c r="H83">
        <v>10</v>
      </c>
      <c r="I83">
        <f t="shared" si="12"/>
        <v>0.99999878173509349</v>
      </c>
      <c r="J83" s="6">
        <f t="shared" si="12"/>
        <v>4.6015026222043495E-2</v>
      </c>
      <c r="K83" s="2">
        <f>(J83*$N$3)/$N$2</f>
        <v>0.15004899855014184</v>
      </c>
    </row>
    <row r="84" spans="1:11" x14ac:dyDescent="0.3">
      <c r="A84" t="s">
        <v>5</v>
      </c>
      <c r="B84">
        <v>2001</v>
      </c>
      <c r="C84">
        <v>2</v>
      </c>
      <c r="D84">
        <v>0</v>
      </c>
      <c r="E84">
        <v>0</v>
      </c>
      <c r="F84">
        <v>1185.3900000000001</v>
      </c>
    </row>
    <row r="85" spans="1:11" x14ac:dyDescent="0.3">
      <c r="A85" t="s">
        <v>5</v>
      </c>
      <c r="B85">
        <v>2001</v>
      </c>
      <c r="C85">
        <v>3</v>
      </c>
      <c r="D85">
        <v>0</v>
      </c>
      <c r="E85">
        <v>0</v>
      </c>
      <c r="F85">
        <v>1199.58</v>
      </c>
    </row>
    <row r="86" spans="1:11" x14ac:dyDescent="0.3">
      <c r="A86" t="s">
        <v>5</v>
      </c>
      <c r="B86">
        <v>10</v>
      </c>
      <c r="C86">
        <v>7</v>
      </c>
      <c r="D86">
        <v>9684989.12109375</v>
      </c>
      <c r="E86">
        <v>0</v>
      </c>
      <c r="F86">
        <v>1214.54</v>
      </c>
      <c r="G86" t="s">
        <v>8</v>
      </c>
      <c r="H86">
        <v>10</v>
      </c>
      <c r="I86">
        <f t="shared" ref="I86:J88" si="13">D86/(C86+D86)</f>
        <v>0.99999927723254478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5</v>
      </c>
      <c r="B87">
        <v>10</v>
      </c>
      <c r="C87">
        <v>9</v>
      </c>
      <c r="D87">
        <v>9495389.54052734</v>
      </c>
      <c r="E87">
        <v>0</v>
      </c>
      <c r="F87">
        <v>1229.1199999999999</v>
      </c>
      <c r="G87" t="s">
        <v>8</v>
      </c>
      <c r="H87">
        <v>10</v>
      </c>
      <c r="I87">
        <f t="shared" si="13"/>
        <v>0.9999990521724853</v>
      </c>
      <c r="J87" s="6">
        <f t="shared" si="13"/>
        <v>0</v>
      </c>
      <c r="K87" s="2">
        <f>(J87*$N$3)/$N$2</f>
        <v>0</v>
      </c>
    </row>
    <row r="88" spans="1:11" x14ac:dyDescent="0.3">
      <c r="A88" t="s">
        <v>5</v>
      </c>
      <c r="B88">
        <v>10</v>
      </c>
      <c r="C88">
        <v>11</v>
      </c>
      <c r="D88">
        <v>9168682.6396484394</v>
      </c>
      <c r="E88">
        <v>0</v>
      </c>
      <c r="F88">
        <v>1243.82</v>
      </c>
      <c r="G88" t="s">
        <v>8</v>
      </c>
      <c r="H88">
        <v>10</v>
      </c>
      <c r="I88">
        <f t="shared" si="13"/>
        <v>0.99999880026529053</v>
      </c>
      <c r="J88" s="6">
        <f t="shared" si="13"/>
        <v>0</v>
      </c>
      <c r="K88" s="2">
        <f>(J88*$N$3)/$N$2</f>
        <v>0</v>
      </c>
    </row>
    <row r="89" spans="1:11" x14ac:dyDescent="0.3">
      <c r="A89" t="s">
        <v>5</v>
      </c>
      <c r="B89">
        <v>2001</v>
      </c>
      <c r="C89">
        <v>2</v>
      </c>
      <c r="D89">
        <v>0</v>
      </c>
      <c r="E89">
        <v>0</v>
      </c>
      <c r="F89">
        <v>1258.22</v>
      </c>
    </row>
    <row r="90" spans="1:11" x14ac:dyDescent="0.3">
      <c r="A90" t="s">
        <v>5</v>
      </c>
      <c r="B90">
        <v>2001</v>
      </c>
      <c r="C90">
        <v>3</v>
      </c>
      <c r="D90">
        <v>0</v>
      </c>
      <c r="E90">
        <v>0</v>
      </c>
      <c r="F90">
        <v>1272.4100000000001</v>
      </c>
    </row>
    <row r="91" spans="1:11" x14ac:dyDescent="0.3">
      <c r="A91" t="s">
        <v>5</v>
      </c>
      <c r="B91">
        <v>2001</v>
      </c>
      <c r="C91">
        <v>2</v>
      </c>
      <c r="D91">
        <v>0</v>
      </c>
      <c r="E91">
        <v>0</v>
      </c>
      <c r="F91">
        <v>1286.8499999999999</v>
      </c>
    </row>
    <row r="92" spans="1:11" x14ac:dyDescent="0.3">
      <c r="A92" t="s">
        <v>5</v>
      </c>
      <c r="B92">
        <v>2001</v>
      </c>
      <c r="C92">
        <v>3</v>
      </c>
      <c r="D92">
        <v>0</v>
      </c>
      <c r="E92">
        <v>0</v>
      </c>
      <c r="F92">
        <v>1301.03</v>
      </c>
    </row>
    <row r="93" spans="1:11" x14ac:dyDescent="0.3">
      <c r="A93" t="s">
        <v>5</v>
      </c>
      <c r="B93">
        <v>9</v>
      </c>
      <c r="C93">
        <v>1</v>
      </c>
      <c r="D93">
        <v>4898449.4472656297</v>
      </c>
      <c r="E93">
        <v>445689.34765625</v>
      </c>
      <c r="F93">
        <v>1315.89</v>
      </c>
      <c r="G93" t="s">
        <v>7</v>
      </c>
      <c r="H93">
        <v>20</v>
      </c>
      <c r="I93">
        <f t="shared" ref="I93:J95" si="14">D93/(C93+D93)</f>
        <v>0.99999979585380916</v>
      </c>
      <c r="J93" s="6">
        <f t="shared" si="14"/>
        <v>8.3397786764025289E-2</v>
      </c>
      <c r="K93" s="2">
        <f>(J93*$N$3)/$N$2</f>
        <v>0.27194930466529982</v>
      </c>
    </row>
    <row r="94" spans="1:11" x14ac:dyDescent="0.3">
      <c r="A94" t="s">
        <v>5</v>
      </c>
      <c r="B94">
        <v>9</v>
      </c>
      <c r="C94">
        <v>3</v>
      </c>
      <c r="D94">
        <v>6939434.8515625</v>
      </c>
      <c r="E94">
        <v>662732.720703125</v>
      </c>
      <c r="F94">
        <v>1330.8</v>
      </c>
      <c r="G94" t="s">
        <v>7</v>
      </c>
      <c r="H94">
        <v>20</v>
      </c>
      <c r="I94">
        <f t="shared" si="14"/>
        <v>0.99999956768832521</v>
      </c>
      <c r="J94" s="6">
        <f t="shared" si="14"/>
        <v>8.7176810350895098E-2</v>
      </c>
      <c r="K94" s="2">
        <f>(J94*$N$3)/$N$2</f>
        <v>0.28427220766596228</v>
      </c>
    </row>
    <row r="95" spans="1:11" x14ac:dyDescent="0.3">
      <c r="A95" t="s">
        <v>5</v>
      </c>
      <c r="B95">
        <v>9</v>
      </c>
      <c r="C95">
        <v>5</v>
      </c>
      <c r="D95">
        <v>3865785.4238281301</v>
      </c>
      <c r="E95">
        <v>335637.732421875</v>
      </c>
      <c r="F95">
        <v>1345.77</v>
      </c>
      <c r="G95" t="s">
        <v>7</v>
      </c>
      <c r="H95">
        <v>20</v>
      </c>
      <c r="I95">
        <f t="shared" si="14"/>
        <v>0.99999870660344925</v>
      </c>
      <c r="J95" s="6">
        <f t="shared" si="14"/>
        <v>7.9886676475941928E-2</v>
      </c>
      <c r="K95" s="2">
        <f>(J95*$N$3)/$N$2</f>
        <v>0.26050003198676719</v>
      </c>
    </row>
    <row r="96" spans="1:11" x14ac:dyDescent="0.3">
      <c r="A96" t="s">
        <v>5</v>
      </c>
      <c r="B96">
        <v>2001</v>
      </c>
      <c r="C96">
        <v>2</v>
      </c>
      <c r="D96">
        <v>0</v>
      </c>
      <c r="E96">
        <v>0</v>
      </c>
      <c r="F96">
        <v>1360.21</v>
      </c>
    </row>
    <row r="97" spans="1:11" x14ac:dyDescent="0.3">
      <c r="A97" t="s">
        <v>5</v>
      </c>
      <c r="B97">
        <v>2001</v>
      </c>
      <c r="C97">
        <v>3</v>
      </c>
      <c r="D97">
        <v>0</v>
      </c>
      <c r="E97">
        <v>0</v>
      </c>
      <c r="F97">
        <v>1374.31</v>
      </c>
    </row>
    <row r="98" spans="1:11" x14ac:dyDescent="0.3">
      <c r="A98" t="s">
        <v>5</v>
      </c>
      <c r="B98">
        <v>9</v>
      </c>
      <c r="C98">
        <v>7</v>
      </c>
      <c r="D98">
        <v>8056306.1816406297</v>
      </c>
      <c r="E98">
        <v>0</v>
      </c>
      <c r="F98">
        <v>1389.26</v>
      </c>
      <c r="G98" t="s">
        <v>8</v>
      </c>
      <c r="H98">
        <v>20</v>
      </c>
      <c r="I98">
        <f t="shared" ref="I98:J100" si="15">D98/(C98+D98)</f>
        <v>0.99999913111620142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5</v>
      </c>
      <c r="B99">
        <v>9</v>
      </c>
      <c r="C99">
        <v>9</v>
      </c>
      <c r="D99">
        <v>7439383.7324218797</v>
      </c>
      <c r="E99">
        <v>0</v>
      </c>
      <c r="F99">
        <v>1403.95</v>
      </c>
      <c r="G99" t="s">
        <v>8</v>
      </c>
      <c r="H99">
        <v>20</v>
      </c>
      <c r="I99">
        <f t="shared" si="15"/>
        <v>0.99999879022383631</v>
      </c>
      <c r="J99" s="6">
        <f t="shared" si="15"/>
        <v>0</v>
      </c>
      <c r="K99" s="2">
        <f>(J99*$N$3)/$N$2</f>
        <v>0</v>
      </c>
    </row>
    <row r="100" spans="1:11" x14ac:dyDescent="0.3">
      <c r="A100" t="s">
        <v>5</v>
      </c>
      <c r="B100">
        <v>9</v>
      </c>
      <c r="C100">
        <v>11</v>
      </c>
      <c r="D100">
        <v>7025227.6328125</v>
      </c>
      <c r="E100">
        <v>0</v>
      </c>
      <c r="F100">
        <v>1418.64</v>
      </c>
      <c r="G100" t="s">
        <v>8</v>
      </c>
      <c r="H100">
        <v>20</v>
      </c>
      <c r="I100">
        <f t="shared" si="15"/>
        <v>0.99999843421688928</v>
      </c>
      <c r="J100" s="6">
        <f t="shared" si="15"/>
        <v>0</v>
      </c>
      <c r="K100" s="2">
        <f>(J100*$N$3)/$N$2</f>
        <v>0</v>
      </c>
    </row>
    <row r="101" spans="1:11" x14ac:dyDescent="0.3">
      <c r="A101" t="s">
        <v>5</v>
      </c>
      <c r="B101">
        <v>2001</v>
      </c>
      <c r="C101">
        <v>2</v>
      </c>
      <c r="D101">
        <v>0</v>
      </c>
      <c r="E101">
        <v>0</v>
      </c>
      <c r="F101">
        <v>1433.09</v>
      </c>
    </row>
    <row r="102" spans="1:11" x14ac:dyDescent="0.3">
      <c r="A102" t="s">
        <v>5</v>
      </c>
      <c r="B102">
        <v>2001</v>
      </c>
      <c r="C102">
        <v>3</v>
      </c>
      <c r="D102">
        <v>0</v>
      </c>
      <c r="E102">
        <v>0</v>
      </c>
      <c r="F102">
        <v>1447.3</v>
      </c>
    </row>
    <row r="103" spans="1:11" x14ac:dyDescent="0.3">
      <c r="A103" t="s">
        <v>5</v>
      </c>
      <c r="B103">
        <v>2001</v>
      </c>
      <c r="C103">
        <v>2</v>
      </c>
      <c r="D103">
        <v>0</v>
      </c>
      <c r="E103">
        <v>0</v>
      </c>
      <c r="F103">
        <v>1461.62</v>
      </c>
    </row>
    <row r="104" spans="1:11" x14ac:dyDescent="0.3">
      <c r="A104" t="s">
        <v>5</v>
      </c>
      <c r="B104">
        <v>2001</v>
      </c>
      <c r="C104">
        <v>3</v>
      </c>
      <c r="D104">
        <v>0</v>
      </c>
      <c r="E104">
        <v>0</v>
      </c>
      <c r="F104">
        <v>1475.82</v>
      </c>
    </row>
    <row r="105" spans="1:11" x14ac:dyDescent="0.3">
      <c r="A105" t="s">
        <v>5</v>
      </c>
      <c r="B105">
        <v>2001</v>
      </c>
      <c r="C105">
        <v>2</v>
      </c>
      <c r="D105">
        <v>0</v>
      </c>
      <c r="E105">
        <v>0</v>
      </c>
      <c r="F105">
        <v>1490.27</v>
      </c>
    </row>
    <row r="106" spans="1:11" x14ac:dyDescent="0.3">
      <c r="A106" t="s">
        <v>5</v>
      </c>
      <c r="B106">
        <v>2001</v>
      </c>
      <c r="C106">
        <v>3</v>
      </c>
      <c r="D106">
        <v>0</v>
      </c>
      <c r="E106">
        <v>0</v>
      </c>
      <c r="F106">
        <v>1504.47</v>
      </c>
    </row>
    <row r="107" spans="1:11" x14ac:dyDescent="0.3">
      <c r="A107" t="s">
        <v>5</v>
      </c>
      <c r="B107">
        <v>8</v>
      </c>
      <c r="C107">
        <v>1</v>
      </c>
      <c r="D107">
        <v>11467749.3588867</v>
      </c>
      <c r="E107">
        <v>2245220.4824218801</v>
      </c>
      <c r="F107">
        <v>1519.33</v>
      </c>
      <c r="G107" t="s">
        <v>7</v>
      </c>
      <c r="H107">
        <v>40</v>
      </c>
      <c r="I107">
        <f t="shared" ref="I107:J109" si="16">D107/(C107+D107)</f>
        <v>0.99999991279893885</v>
      </c>
      <c r="J107" s="6">
        <f t="shared" si="16"/>
        <v>0.16372970322288893</v>
      </c>
      <c r="K107" s="2">
        <f>(J107*$N$3)/$N$2</f>
        <v>0.53390120616159431</v>
      </c>
    </row>
    <row r="108" spans="1:11" x14ac:dyDescent="0.3">
      <c r="A108" t="s">
        <v>5</v>
      </c>
      <c r="B108">
        <v>8</v>
      </c>
      <c r="C108">
        <v>3</v>
      </c>
      <c r="D108">
        <v>11020806.7265625</v>
      </c>
      <c r="E108">
        <v>2318287.1464843801</v>
      </c>
      <c r="F108">
        <v>1534.3</v>
      </c>
      <c r="G108" t="s">
        <v>7</v>
      </c>
      <c r="H108">
        <v>40</v>
      </c>
      <c r="I108">
        <f t="shared" si="16"/>
        <v>0.99999972778769675</v>
      </c>
      <c r="J108" s="6">
        <f t="shared" si="16"/>
        <v>0.17379644888538767</v>
      </c>
      <c r="K108" s="2">
        <f>(J108*$N$3)/$N$2</f>
        <v>0.56672755071322067</v>
      </c>
    </row>
    <row r="109" spans="1:11" x14ac:dyDescent="0.3">
      <c r="A109" t="s">
        <v>5</v>
      </c>
      <c r="B109">
        <v>8</v>
      </c>
      <c r="C109">
        <v>5</v>
      </c>
      <c r="D109">
        <v>10695015.8476563</v>
      </c>
      <c r="E109">
        <v>2091594.0234375</v>
      </c>
      <c r="F109">
        <v>1549.17</v>
      </c>
      <c r="G109" t="s">
        <v>7</v>
      </c>
      <c r="H109">
        <v>40</v>
      </c>
      <c r="I109">
        <f t="shared" si="16"/>
        <v>0.99999953249272988</v>
      </c>
      <c r="J109" s="6">
        <f t="shared" si="16"/>
        <v>0.16357690150271079</v>
      </c>
      <c r="K109" s="2">
        <f>(J109*$N$3)/$N$2</f>
        <v>0.53340293968275254</v>
      </c>
    </row>
    <row r="110" spans="1:11" x14ac:dyDescent="0.3">
      <c r="A110" t="s">
        <v>5</v>
      </c>
      <c r="B110">
        <v>2001</v>
      </c>
      <c r="C110">
        <v>2</v>
      </c>
      <c r="D110">
        <v>0</v>
      </c>
      <c r="E110">
        <v>0</v>
      </c>
      <c r="F110">
        <v>1563.57</v>
      </c>
    </row>
    <row r="111" spans="1:11" x14ac:dyDescent="0.3">
      <c r="A111" t="s">
        <v>5</v>
      </c>
      <c r="B111">
        <v>2001</v>
      </c>
      <c r="C111">
        <v>3</v>
      </c>
      <c r="D111">
        <v>0</v>
      </c>
      <c r="E111">
        <v>0</v>
      </c>
      <c r="F111">
        <v>1577.77</v>
      </c>
    </row>
    <row r="112" spans="1:11" x14ac:dyDescent="0.3">
      <c r="A112" t="s">
        <v>5</v>
      </c>
      <c r="B112">
        <v>2001</v>
      </c>
      <c r="C112">
        <v>2</v>
      </c>
      <c r="D112">
        <v>0</v>
      </c>
      <c r="E112">
        <v>0</v>
      </c>
      <c r="F112">
        <v>1592.21</v>
      </c>
    </row>
    <row r="113" spans="1:11" x14ac:dyDescent="0.3">
      <c r="A113" t="s">
        <v>5</v>
      </c>
      <c r="B113">
        <v>2001</v>
      </c>
      <c r="C113">
        <v>3</v>
      </c>
      <c r="D113">
        <v>0</v>
      </c>
      <c r="E113">
        <v>0</v>
      </c>
      <c r="F113">
        <v>1606.42</v>
      </c>
    </row>
    <row r="114" spans="1:11" x14ac:dyDescent="0.3">
      <c r="A114" t="s">
        <v>5</v>
      </c>
      <c r="B114">
        <v>8</v>
      </c>
      <c r="C114">
        <v>7</v>
      </c>
      <c r="D114">
        <v>15434422.984375</v>
      </c>
      <c r="E114">
        <v>0</v>
      </c>
      <c r="F114">
        <v>1621.3</v>
      </c>
      <c r="G114" t="s">
        <v>8</v>
      </c>
      <c r="H114">
        <v>40</v>
      </c>
      <c r="I114">
        <f t="shared" ref="I114:J116" si="17">D114/(C114+D114)</f>
        <v>0.99999954646851186</v>
      </c>
      <c r="J114" s="6">
        <f t="shared" si="17"/>
        <v>0</v>
      </c>
      <c r="K114" s="2">
        <f>(J114*$N$3)/$N$2</f>
        <v>0</v>
      </c>
    </row>
    <row r="115" spans="1:11" x14ac:dyDescent="0.3">
      <c r="A115" t="s">
        <v>5</v>
      </c>
      <c r="B115">
        <v>8</v>
      </c>
      <c r="C115">
        <v>9</v>
      </c>
      <c r="D115">
        <v>14919561.681640601</v>
      </c>
      <c r="E115">
        <v>0</v>
      </c>
      <c r="F115">
        <v>1635.89</v>
      </c>
      <c r="G115" t="s">
        <v>8</v>
      </c>
      <c r="H115">
        <v>40</v>
      </c>
      <c r="I115">
        <f t="shared" si="17"/>
        <v>0.99999939676548388</v>
      </c>
      <c r="J115" s="6">
        <f t="shared" si="17"/>
        <v>0</v>
      </c>
      <c r="K115" s="2">
        <f>(J115*$N$3)/$N$2</f>
        <v>0</v>
      </c>
    </row>
    <row r="116" spans="1:11" x14ac:dyDescent="0.3">
      <c r="A116" t="s">
        <v>5</v>
      </c>
      <c r="B116">
        <v>8</v>
      </c>
      <c r="C116">
        <v>11</v>
      </c>
      <c r="D116">
        <v>14758766.830566401</v>
      </c>
      <c r="E116">
        <v>0</v>
      </c>
      <c r="F116">
        <v>1650.67</v>
      </c>
      <c r="G116" t="s">
        <v>8</v>
      </c>
      <c r="H116">
        <v>40</v>
      </c>
      <c r="I116">
        <f t="shared" si="17"/>
        <v>0.99999925468083295</v>
      </c>
      <c r="J116" s="6">
        <f t="shared" si="17"/>
        <v>0</v>
      </c>
      <c r="K116" s="2">
        <f>(J116*$N$3)/$N$2</f>
        <v>0</v>
      </c>
    </row>
    <row r="117" spans="1:11" x14ac:dyDescent="0.3">
      <c r="A117" t="s">
        <v>5</v>
      </c>
      <c r="B117">
        <v>2001</v>
      </c>
      <c r="C117">
        <v>2</v>
      </c>
      <c r="D117">
        <v>0</v>
      </c>
      <c r="E117">
        <v>0</v>
      </c>
      <c r="F117">
        <v>1665.08</v>
      </c>
    </row>
    <row r="118" spans="1:11" x14ac:dyDescent="0.3">
      <c r="A118" t="s">
        <v>5</v>
      </c>
      <c r="B118">
        <v>2001</v>
      </c>
      <c r="C118">
        <v>3</v>
      </c>
      <c r="D118">
        <v>0</v>
      </c>
      <c r="E118">
        <v>0</v>
      </c>
      <c r="F118">
        <v>1679.27</v>
      </c>
    </row>
    <row r="119" spans="1:11" x14ac:dyDescent="0.3">
      <c r="A119" t="s">
        <v>5</v>
      </c>
      <c r="B119">
        <v>2001</v>
      </c>
      <c r="C119">
        <v>2</v>
      </c>
      <c r="D119">
        <v>0</v>
      </c>
      <c r="E119">
        <v>0</v>
      </c>
      <c r="F119">
        <v>1693.65</v>
      </c>
    </row>
    <row r="120" spans="1:11" x14ac:dyDescent="0.3">
      <c r="A120" t="s">
        <v>5</v>
      </c>
      <c r="B120">
        <v>2001</v>
      </c>
      <c r="C120">
        <v>3</v>
      </c>
      <c r="D120">
        <v>0</v>
      </c>
      <c r="E120">
        <v>0</v>
      </c>
      <c r="F120">
        <v>1707.85</v>
      </c>
    </row>
    <row r="121" spans="1:11" x14ac:dyDescent="0.3">
      <c r="A121" t="s">
        <v>5</v>
      </c>
      <c r="B121">
        <v>7</v>
      </c>
      <c r="C121">
        <v>1</v>
      </c>
      <c r="D121">
        <v>3836817.5908203102</v>
      </c>
      <c r="E121">
        <v>921120.51611328102</v>
      </c>
      <c r="F121">
        <v>1722.81</v>
      </c>
      <c r="G121" t="s">
        <v>7</v>
      </c>
      <c r="H121">
        <v>60</v>
      </c>
      <c r="I121">
        <f t="shared" ref="I121:J123" si="18">D121/(C121+D121)</f>
        <v>0.99999973936740127</v>
      </c>
      <c r="J121" s="6">
        <f t="shared" si="18"/>
        <v>0.19359657385432602</v>
      </c>
      <c r="K121" s="2">
        <f>(J121*$N$3)/$N$2</f>
        <v>0.63129317561193266</v>
      </c>
    </row>
    <row r="122" spans="1:11" x14ac:dyDescent="0.3">
      <c r="A122" t="s">
        <v>5</v>
      </c>
      <c r="B122">
        <v>7</v>
      </c>
      <c r="C122">
        <v>3</v>
      </c>
      <c r="D122">
        <v>4019776.8671875</v>
      </c>
      <c r="E122">
        <v>1031056.74023438</v>
      </c>
      <c r="F122">
        <v>1737.64</v>
      </c>
      <c r="G122" t="s">
        <v>7</v>
      </c>
      <c r="H122">
        <v>60</v>
      </c>
      <c r="I122">
        <f t="shared" si="18"/>
        <v>0.99999925369047582</v>
      </c>
      <c r="J122" s="6">
        <f t="shared" si="18"/>
        <v>0.20413595465099216</v>
      </c>
      <c r="K122" s="2">
        <f>(J122*$N$3)/$N$2</f>
        <v>0.66566072168801793</v>
      </c>
    </row>
    <row r="123" spans="1:11" x14ac:dyDescent="0.3">
      <c r="A123" t="s">
        <v>5</v>
      </c>
      <c r="B123">
        <v>7</v>
      </c>
      <c r="C123">
        <v>5</v>
      </c>
      <c r="D123">
        <v>2955243.4970703102</v>
      </c>
      <c r="E123">
        <v>708304.70019531297</v>
      </c>
      <c r="F123">
        <v>1752.58</v>
      </c>
      <c r="G123" t="s">
        <v>7</v>
      </c>
      <c r="H123">
        <v>60</v>
      </c>
      <c r="I123">
        <f t="shared" si="18"/>
        <v>0.99999830809490131</v>
      </c>
      <c r="J123" s="6">
        <f t="shared" si="18"/>
        <v>0.19333844187554927</v>
      </c>
      <c r="K123" s="2">
        <f>(J123*$N$3)/$N$2</f>
        <v>0.63045144089853022</v>
      </c>
    </row>
    <row r="124" spans="1:11" x14ac:dyDescent="0.3">
      <c r="A124" t="s">
        <v>5</v>
      </c>
      <c r="B124">
        <v>2001</v>
      </c>
      <c r="C124">
        <v>2</v>
      </c>
      <c r="D124">
        <v>0</v>
      </c>
      <c r="E124">
        <v>0</v>
      </c>
      <c r="F124">
        <v>1766.88</v>
      </c>
    </row>
    <row r="125" spans="1:11" x14ac:dyDescent="0.3">
      <c r="A125" t="s">
        <v>5</v>
      </c>
      <c r="B125">
        <v>2001</v>
      </c>
      <c r="C125">
        <v>3</v>
      </c>
      <c r="D125">
        <v>0</v>
      </c>
      <c r="E125">
        <v>0</v>
      </c>
      <c r="F125">
        <v>1781.2</v>
      </c>
    </row>
    <row r="126" spans="1:11" x14ac:dyDescent="0.3">
      <c r="A126" t="s">
        <v>5</v>
      </c>
      <c r="B126">
        <v>2001</v>
      </c>
      <c r="C126">
        <v>2</v>
      </c>
      <c r="D126">
        <v>0</v>
      </c>
      <c r="E126">
        <v>0</v>
      </c>
      <c r="F126">
        <v>1795.62</v>
      </c>
    </row>
    <row r="127" spans="1:11" x14ac:dyDescent="0.3">
      <c r="A127" t="s">
        <v>5</v>
      </c>
      <c r="B127">
        <v>2001</v>
      </c>
      <c r="C127">
        <v>3</v>
      </c>
      <c r="D127">
        <v>0</v>
      </c>
      <c r="E127">
        <v>0</v>
      </c>
      <c r="F127">
        <v>1809.81</v>
      </c>
    </row>
    <row r="128" spans="1:11" x14ac:dyDescent="0.3">
      <c r="A128" t="s">
        <v>5</v>
      </c>
      <c r="B128">
        <v>7</v>
      </c>
      <c r="C128">
        <v>7</v>
      </c>
      <c r="D128">
        <v>7876457.9248046903</v>
      </c>
      <c r="E128">
        <v>0</v>
      </c>
      <c r="F128">
        <v>1824.65</v>
      </c>
      <c r="G128" t="s">
        <v>8</v>
      </c>
      <c r="H128">
        <v>60</v>
      </c>
      <c r="I128">
        <f t="shared" ref="I128:J130" si="19">D128/(C128+D128)</f>
        <v>0.99999911127643337</v>
      </c>
      <c r="J128" s="6">
        <f t="shared" si="19"/>
        <v>0</v>
      </c>
      <c r="K128" s="2">
        <f>(J128*$N$3)/$N$2</f>
        <v>0</v>
      </c>
    </row>
    <row r="129" spans="1:11" x14ac:dyDescent="0.3">
      <c r="A129" t="s">
        <v>5</v>
      </c>
      <c r="B129">
        <v>7</v>
      </c>
      <c r="C129">
        <v>9</v>
      </c>
      <c r="D129">
        <v>3604576.9736328102</v>
      </c>
      <c r="E129">
        <v>0</v>
      </c>
      <c r="F129">
        <v>1839.37</v>
      </c>
      <c r="G129" t="s">
        <v>8</v>
      </c>
      <c r="H129">
        <v>60</v>
      </c>
      <c r="I129">
        <f t="shared" si="19"/>
        <v>0.99999750318065217</v>
      </c>
      <c r="J129" s="6">
        <f t="shared" si="19"/>
        <v>0</v>
      </c>
      <c r="K129" s="2">
        <f>(J129*$N$3)/$N$2</f>
        <v>0</v>
      </c>
    </row>
    <row r="130" spans="1:11" x14ac:dyDescent="0.3">
      <c r="A130" t="s">
        <v>5</v>
      </c>
      <c r="B130">
        <v>7</v>
      </c>
      <c r="C130">
        <v>11</v>
      </c>
      <c r="D130">
        <v>3195769.23291016</v>
      </c>
      <c r="E130">
        <v>0</v>
      </c>
      <c r="F130">
        <v>1854.06</v>
      </c>
      <c r="G130" t="s">
        <v>8</v>
      </c>
      <c r="H130">
        <v>60</v>
      </c>
      <c r="I130">
        <f t="shared" si="19"/>
        <v>0.99999655796106168</v>
      </c>
      <c r="J130" s="6">
        <f t="shared" si="19"/>
        <v>0</v>
      </c>
      <c r="K130" s="2">
        <f>(J130*$N$3)/$N$2</f>
        <v>0</v>
      </c>
    </row>
    <row r="131" spans="1:11" x14ac:dyDescent="0.3">
      <c r="A131" t="s">
        <v>5</v>
      </c>
      <c r="B131">
        <v>2001</v>
      </c>
      <c r="C131">
        <v>2</v>
      </c>
      <c r="D131">
        <v>0</v>
      </c>
      <c r="E131">
        <v>0</v>
      </c>
      <c r="F131">
        <v>1868.39</v>
      </c>
    </row>
    <row r="132" spans="1:11" x14ac:dyDescent="0.3">
      <c r="A132" t="s">
        <v>5</v>
      </c>
      <c r="B132">
        <v>2001</v>
      </c>
      <c r="C132">
        <v>3</v>
      </c>
      <c r="D132">
        <v>0</v>
      </c>
      <c r="E132">
        <v>0</v>
      </c>
      <c r="F132">
        <v>1882.68</v>
      </c>
    </row>
    <row r="133" spans="1:11" x14ac:dyDescent="0.3">
      <c r="A133" t="s">
        <v>5</v>
      </c>
      <c r="B133">
        <v>2001</v>
      </c>
      <c r="C133">
        <v>2</v>
      </c>
      <c r="D133">
        <v>0</v>
      </c>
      <c r="E133">
        <v>0</v>
      </c>
      <c r="F133">
        <v>1896.99</v>
      </c>
    </row>
    <row r="134" spans="1:11" x14ac:dyDescent="0.3">
      <c r="A134" t="s">
        <v>5</v>
      </c>
      <c r="B134">
        <v>2001</v>
      </c>
      <c r="C134">
        <v>3</v>
      </c>
      <c r="D134">
        <v>0</v>
      </c>
      <c r="E134">
        <v>0</v>
      </c>
      <c r="F134">
        <v>1911.3</v>
      </c>
    </row>
    <row r="135" spans="1:11" x14ac:dyDescent="0.3">
      <c r="A135" t="s">
        <v>5</v>
      </c>
      <c r="B135">
        <v>6</v>
      </c>
      <c r="C135">
        <v>1</v>
      </c>
      <c r="D135">
        <v>667581.494140625</v>
      </c>
      <c r="E135">
        <v>3044375.125</v>
      </c>
      <c r="F135">
        <v>1926.16</v>
      </c>
      <c r="G135" t="s">
        <v>7</v>
      </c>
      <c r="H135">
        <v>300</v>
      </c>
      <c r="I135">
        <f t="shared" ref="I135:J137" si="20">D135/(C135+D135)</f>
        <v>0.99999850205778495</v>
      </c>
      <c r="J135" s="6">
        <f t="shared" si="20"/>
        <v>0.82015374568273369</v>
      </c>
      <c r="K135" s="2">
        <f>(J135*$N$3)/$N$2</f>
        <v>2.6744143880958706</v>
      </c>
    </row>
    <row r="136" spans="1:11" x14ac:dyDescent="0.3">
      <c r="A136" t="s">
        <v>5</v>
      </c>
      <c r="B136">
        <v>6</v>
      </c>
      <c r="C136">
        <v>3</v>
      </c>
      <c r="D136">
        <v>354552.82714843802</v>
      </c>
      <c r="E136">
        <v>1747094.83984375</v>
      </c>
      <c r="F136">
        <v>1941.11</v>
      </c>
      <c r="G136" t="s">
        <v>7</v>
      </c>
      <c r="H136">
        <v>300</v>
      </c>
      <c r="I136">
        <f t="shared" si="20"/>
        <v>0.99999153870908253</v>
      </c>
      <c r="J136" s="6">
        <f t="shared" si="20"/>
        <v>0.83129768480372224</v>
      </c>
      <c r="K136" s="2">
        <f>(J136*$N$3)/$N$2</f>
        <v>2.7107533200121376</v>
      </c>
    </row>
    <row r="137" spans="1:11" x14ac:dyDescent="0.3">
      <c r="A137" t="s">
        <v>5</v>
      </c>
      <c r="B137">
        <v>6</v>
      </c>
      <c r="C137">
        <v>5</v>
      </c>
      <c r="D137">
        <v>395397.72949218802</v>
      </c>
      <c r="E137">
        <v>1857659.7255859401</v>
      </c>
      <c r="F137">
        <v>1956.06</v>
      </c>
      <c r="G137" t="s">
        <v>7</v>
      </c>
      <c r="H137">
        <v>300</v>
      </c>
      <c r="I137">
        <f t="shared" si="20"/>
        <v>0.99998735466493516</v>
      </c>
      <c r="J137" s="6">
        <f t="shared" si="20"/>
        <v>0.82450614892176499</v>
      </c>
      <c r="K137" s="2">
        <f>(J137*$N$3)/$N$2</f>
        <v>2.6886070073535815</v>
      </c>
    </row>
    <row r="138" spans="1:11" x14ac:dyDescent="0.3">
      <c r="A138" t="s">
        <v>5</v>
      </c>
      <c r="B138">
        <v>2001</v>
      </c>
      <c r="C138">
        <v>2</v>
      </c>
      <c r="D138">
        <v>0</v>
      </c>
      <c r="E138">
        <v>43513.8916015625</v>
      </c>
      <c r="F138">
        <v>1970.41</v>
      </c>
    </row>
    <row r="139" spans="1:11" x14ac:dyDescent="0.3">
      <c r="A139" t="s">
        <v>5</v>
      </c>
      <c r="B139">
        <v>2001</v>
      </c>
      <c r="C139">
        <v>3</v>
      </c>
      <c r="D139">
        <v>0</v>
      </c>
      <c r="E139">
        <v>0</v>
      </c>
      <c r="F139">
        <v>1984.62</v>
      </c>
    </row>
    <row r="140" spans="1:11" x14ac:dyDescent="0.3">
      <c r="A140" t="s">
        <v>5</v>
      </c>
      <c r="B140">
        <v>2001</v>
      </c>
      <c r="C140">
        <v>2</v>
      </c>
      <c r="D140">
        <v>0</v>
      </c>
      <c r="E140">
        <v>0</v>
      </c>
      <c r="F140">
        <v>1998.97</v>
      </c>
    </row>
    <row r="141" spans="1:11" x14ac:dyDescent="0.3">
      <c r="A141" t="s">
        <v>5</v>
      </c>
      <c r="B141">
        <v>2001</v>
      </c>
      <c r="C141">
        <v>3</v>
      </c>
      <c r="D141">
        <v>0</v>
      </c>
      <c r="E141">
        <v>0</v>
      </c>
      <c r="F141">
        <v>2013.26</v>
      </c>
    </row>
    <row r="142" spans="1:11" x14ac:dyDescent="0.3">
      <c r="A142" t="s">
        <v>5</v>
      </c>
      <c r="B142">
        <v>6</v>
      </c>
      <c r="C142">
        <v>7</v>
      </c>
      <c r="D142">
        <v>899546.623046875</v>
      </c>
      <c r="E142">
        <v>10478.040527343799</v>
      </c>
      <c r="F142">
        <v>2028.11</v>
      </c>
      <c r="G142" t="s">
        <v>8</v>
      </c>
      <c r="H142">
        <v>300</v>
      </c>
      <c r="I142">
        <f t="shared" ref="I142:J144" si="21">D142/(C142+D142)</f>
        <v>0.99999221836272945</v>
      </c>
      <c r="J142" s="6">
        <f t="shared" si="21"/>
        <v>1.1514018187364482E-2</v>
      </c>
      <c r="K142" s="2">
        <f>(J142*$N$3)/$N$2</f>
        <v>3.7545711480536356E-2</v>
      </c>
    </row>
    <row r="143" spans="1:11" x14ac:dyDescent="0.3">
      <c r="A143" t="s">
        <v>5</v>
      </c>
      <c r="B143">
        <v>6</v>
      </c>
      <c r="C143">
        <v>9</v>
      </c>
      <c r="D143">
        <v>781319.40625</v>
      </c>
      <c r="E143">
        <v>0</v>
      </c>
      <c r="F143">
        <v>2042.93</v>
      </c>
      <c r="G143" t="s">
        <v>8</v>
      </c>
      <c r="H143">
        <v>300</v>
      </c>
      <c r="I143">
        <f t="shared" si="21"/>
        <v>0.99998848115603123</v>
      </c>
      <c r="J143" s="6">
        <f t="shared" si="21"/>
        <v>0</v>
      </c>
      <c r="K143" s="2">
        <f>(J143*$N$3)/$N$2</f>
        <v>0</v>
      </c>
    </row>
    <row r="144" spans="1:11" x14ac:dyDescent="0.3">
      <c r="A144" t="s">
        <v>5</v>
      </c>
      <c r="B144">
        <v>6</v>
      </c>
      <c r="C144">
        <v>11</v>
      </c>
      <c r="D144">
        <v>890367.28857421898</v>
      </c>
      <c r="E144">
        <v>0</v>
      </c>
      <c r="F144">
        <v>2057.6</v>
      </c>
      <c r="G144" t="s">
        <v>8</v>
      </c>
      <c r="H144">
        <v>300</v>
      </c>
      <c r="I144">
        <f t="shared" si="21"/>
        <v>0.99998764570055088</v>
      </c>
      <c r="J144" s="6">
        <f t="shared" si="21"/>
        <v>0</v>
      </c>
      <c r="K144" s="2">
        <f>(J144*$N$3)/$N$2</f>
        <v>0</v>
      </c>
    </row>
    <row r="145" spans="1:6" x14ac:dyDescent="0.3">
      <c r="A145" t="s">
        <v>5</v>
      </c>
      <c r="B145">
        <v>2001</v>
      </c>
      <c r="C145">
        <v>2</v>
      </c>
      <c r="D145">
        <v>0</v>
      </c>
      <c r="E145">
        <v>0</v>
      </c>
      <c r="F145">
        <v>2072.06</v>
      </c>
    </row>
    <row r="146" spans="1:6" x14ac:dyDescent="0.3">
      <c r="A146" t="s">
        <v>5</v>
      </c>
      <c r="B146">
        <v>2001</v>
      </c>
      <c r="C146">
        <v>3</v>
      </c>
      <c r="D146">
        <v>0</v>
      </c>
      <c r="E146">
        <v>0</v>
      </c>
      <c r="F146">
        <v>2086.36</v>
      </c>
    </row>
    <row r="147" spans="1:6" x14ac:dyDescent="0.3">
      <c r="A147" t="s">
        <v>5</v>
      </c>
      <c r="B147">
        <v>2001</v>
      </c>
      <c r="C147">
        <v>2</v>
      </c>
      <c r="D147">
        <v>0</v>
      </c>
      <c r="E147">
        <v>0</v>
      </c>
      <c r="F147">
        <v>2100.6799999999998</v>
      </c>
    </row>
    <row r="148" spans="1:6" x14ac:dyDescent="0.3">
      <c r="A148" t="s">
        <v>5</v>
      </c>
      <c r="B148">
        <v>2001</v>
      </c>
      <c r="C148">
        <v>3</v>
      </c>
      <c r="D148">
        <v>0</v>
      </c>
      <c r="E148">
        <v>0</v>
      </c>
      <c r="F148">
        <v>2114.85</v>
      </c>
    </row>
    <row r="149" spans="1:6" x14ac:dyDescent="0.3">
      <c r="A149" t="s">
        <v>5</v>
      </c>
      <c r="B149">
        <v>2001</v>
      </c>
      <c r="C149">
        <v>2</v>
      </c>
      <c r="D149">
        <v>0</v>
      </c>
      <c r="E149">
        <v>0</v>
      </c>
      <c r="F149">
        <v>2129.31</v>
      </c>
    </row>
    <row r="150" spans="1:6" x14ac:dyDescent="0.3">
      <c r="A150" t="s">
        <v>5</v>
      </c>
      <c r="B150">
        <v>2001</v>
      </c>
      <c r="C150">
        <v>3</v>
      </c>
      <c r="D150">
        <v>0</v>
      </c>
      <c r="E150">
        <v>0</v>
      </c>
      <c r="F150">
        <v>2143.48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1CEF-C7EA-4A77-93B0-78473AF3C832}">
  <dimension ref="A1:S150"/>
  <sheetViews>
    <sheetView topLeftCell="J1" workbookViewId="0">
      <selection activeCell="O17" sqref="O17"/>
    </sheetView>
  </sheetViews>
  <sheetFormatPr defaultRowHeight="14.4" x14ac:dyDescent="0.3"/>
  <cols>
    <col min="10" max="10" width="8.88671875" style="6"/>
    <col min="14" max="14" width="9.33203125" bestFit="1" customWidth="1"/>
    <col min="18" max="19" width="9.33203125" bestFit="1" customWidth="1"/>
  </cols>
  <sheetData>
    <row r="1" spans="1:19" x14ac:dyDescent="0.3">
      <c r="A1" t="s">
        <v>14</v>
      </c>
    </row>
    <row r="2" spans="1:19" x14ac:dyDescent="0.3">
      <c r="A2" t="s">
        <v>1</v>
      </c>
      <c r="B2" t="s">
        <v>2</v>
      </c>
      <c r="C2" t="s">
        <v>3</v>
      </c>
      <c r="D2">
        <v>1442.73</v>
      </c>
      <c r="E2">
        <v>1474.73</v>
      </c>
      <c r="F2" t="s">
        <v>4</v>
      </c>
      <c r="G2" t="s">
        <v>6</v>
      </c>
      <c r="H2" t="s">
        <v>10</v>
      </c>
      <c r="I2" t="s">
        <v>19</v>
      </c>
      <c r="J2" s="6" t="s">
        <v>23</v>
      </c>
      <c r="K2" t="s">
        <v>16</v>
      </c>
      <c r="M2" t="s">
        <v>17</v>
      </c>
      <c r="N2" s="2">
        <v>2.5400000000000002E-3</v>
      </c>
    </row>
    <row r="3" spans="1:19" x14ac:dyDescent="0.3">
      <c r="A3" t="s">
        <v>15</v>
      </c>
      <c r="B3">
        <v>2001</v>
      </c>
      <c r="C3">
        <v>2</v>
      </c>
      <c r="D3">
        <v>1108037.7734375</v>
      </c>
      <c r="E3">
        <v>0</v>
      </c>
      <c r="F3">
        <v>183.18</v>
      </c>
      <c r="M3" t="s">
        <v>18</v>
      </c>
      <c r="N3" s="2">
        <v>8.9999999999999993E-3</v>
      </c>
    </row>
    <row r="4" spans="1:19" x14ac:dyDescent="0.3">
      <c r="A4" t="s">
        <v>15</v>
      </c>
      <c r="B4">
        <v>2001</v>
      </c>
      <c r="C4">
        <v>3</v>
      </c>
      <c r="D4">
        <v>6821108.36865234</v>
      </c>
      <c r="E4">
        <v>0</v>
      </c>
      <c r="F4">
        <v>197.09</v>
      </c>
    </row>
    <row r="5" spans="1:19" x14ac:dyDescent="0.3">
      <c r="A5" t="s">
        <v>15</v>
      </c>
      <c r="B5">
        <v>2001</v>
      </c>
      <c r="C5">
        <v>2</v>
      </c>
      <c r="D5">
        <v>0</v>
      </c>
      <c r="E5">
        <v>0</v>
      </c>
      <c r="F5">
        <v>211.57</v>
      </c>
    </row>
    <row r="6" spans="1:19" x14ac:dyDescent="0.3">
      <c r="A6" t="s">
        <v>15</v>
      </c>
      <c r="B6">
        <v>2001</v>
      </c>
      <c r="C6">
        <v>3</v>
      </c>
      <c r="D6">
        <v>0</v>
      </c>
      <c r="E6">
        <v>0</v>
      </c>
      <c r="F6">
        <v>225.77</v>
      </c>
    </row>
    <row r="7" spans="1:19" ht="15.6" x14ac:dyDescent="0.3">
      <c r="A7" t="s">
        <v>15</v>
      </c>
      <c r="B7">
        <v>2001</v>
      </c>
      <c r="C7">
        <v>2</v>
      </c>
      <c r="D7">
        <v>0</v>
      </c>
      <c r="E7">
        <v>0</v>
      </c>
      <c r="F7">
        <v>240.21</v>
      </c>
      <c r="M7" s="3"/>
      <c r="N7" s="4" t="s">
        <v>20</v>
      </c>
      <c r="O7" s="3"/>
      <c r="Q7" s="3"/>
      <c r="R7" s="4" t="s">
        <v>20</v>
      </c>
      <c r="S7" s="3"/>
    </row>
    <row r="8" spans="1:19" ht="15.6" x14ac:dyDescent="0.3">
      <c r="A8" t="s">
        <v>15</v>
      </c>
      <c r="B8">
        <v>2001</v>
      </c>
      <c r="C8">
        <v>3</v>
      </c>
      <c r="D8">
        <v>0</v>
      </c>
      <c r="E8">
        <v>0</v>
      </c>
      <c r="F8">
        <v>254.39</v>
      </c>
      <c r="M8" s="4" t="s">
        <v>21</v>
      </c>
      <c r="N8" s="4" t="s">
        <v>16</v>
      </c>
      <c r="O8" s="3" t="s">
        <v>22</v>
      </c>
      <c r="Q8" s="4" t="s">
        <v>21</v>
      </c>
      <c r="R8" s="4" t="s">
        <v>23</v>
      </c>
      <c r="S8" s="3" t="s">
        <v>22</v>
      </c>
    </row>
    <row r="9" spans="1:19" ht="15.6" x14ac:dyDescent="0.3">
      <c r="A9" t="s">
        <v>15</v>
      </c>
      <c r="B9">
        <v>16</v>
      </c>
      <c r="C9">
        <v>1</v>
      </c>
      <c r="D9">
        <v>1702563.56640625</v>
      </c>
      <c r="E9">
        <v>60702.1513671875</v>
      </c>
      <c r="F9">
        <v>269.23</v>
      </c>
      <c r="G9" t="s">
        <v>7</v>
      </c>
      <c r="H9">
        <v>0</v>
      </c>
      <c r="I9">
        <f>D9/(C9+D9)</f>
        <v>0.99999941265076242</v>
      </c>
      <c r="J9" s="6">
        <f>E9/(D9+E9)</f>
        <v>3.4425980585523493E-2</v>
      </c>
      <c r="K9" s="2">
        <f>(J9*$N$3)/$N$2</f>
        <v>0.12198182097232732</v>
      </c>
      <c r="M9" s="3">
        <v>0</v>
      </c>
      <c r="N9" s="5">
        <f>AVERAGE(K9:K11)</f>
        <v>8.0101152800654662E-2</v>
      </c>
      <c r="O9" s="3">
        <f>STDEV(K9:K11)</f>
        <v>6.939376950337052E-2</v>
      </c>
      <c r="Q9" s="3">
        <v>0</v>
      </c>
      <c r="R9" s="7">
        <f>AVERAGE(J9:J11)</f>
        <v>2.2606325345962543E-2</v>
      </c>
      <c r="S9" s="3">
        <f>STDEV(J10:J12)</f>
        <v>2.361241352849822E-2</v>
      </c>
    </row>
    <row r="10" spans="1:19" ht="15.6" x14ac:dyDescent="0.3">
      <c r="A10" t="s">
        <v>15</v>
      </c>
      <c r="B10">
        <v>16</v>
      </c>
      <c r="C10">
        <v>3</v>
      </c>
      <c r="D10">
        <v>675368.71484375</v>
      </c>
      <c r="E10">
        <v>0</v>
      </c>
      <c r="F10">
        <v>284.20999999999998</v>
      </c>
      <c r="G10" t="s">
        <v>7</v>
      </c>
      <c r="H10">
        <v>0</v>
      </c>
      <c r="I10">
        <f t="shared" ref="I10:J11" si="0">D10/(C10+D10)</f>
        <v>0.99999555800171358</v>
      </c>
      <c r="J10" s="6">
        <f t="shared" si="0"/>
        <v>0</v>
      </c>
      <c r="K10" s="2">
        <f>(J10*$N$3)/$N$2</f>
        <v>0</v>
      </c>
      <c r="M10" s="3">
        <v>0.5</v>
      </c>
      <c r="N10" s="5">
        <f>AVERAGE(K21:K23)</f>
        <v>0.30145633887140061</v>
      </c>
      <c r="O10" s="3">
        <f>STDEV(K21:K23)</f>
        <v>4.177238430550078E-2</v>
      </c>
      <c r="Q10" s="3">
        <v>0.5</v>
      </c>
      <c r="R10" s="7">
        <f>AVERAGE(J21:J23)</f>
        <v>8.5077677859261971E-2</v>
      </c>
      <c r="S10" s="3">
        <f>STDEV(J22:J24)</f>
        <v>1.6153258352846832E-2</v>
      </c>
    </row>
    <row r="11" spans="1:19" ht="15.6" x14ac:dyDescent="0.3">
      <c r="A11" t="s">
        <v>15</v>
      </c>
      <c r="B11">
        <v>16</v>
      </c>
      <c r="C11">
        <v>5</v>
      </c>
      <c r="D11">
        <v>922373.517578125</v>
      </c>
      <c r="E11">
        <v>31864.878417968801</v>
      </c>
      <c r="F11">
        <v>299.16000000000003</v>
      </c>
      <c r="G11" t="s">
        <v>7</v>
      </c>
      <c r="H11">
        <v>0</v>
      </c>
      <c r="I11">
        <f t="shared" si="0"/>
        <v>0.9999945792319479</v>
      </c>
      <c r="J11" s="6">
        <f t="shared" si="0"/>
        <v>3.3392995452364134E-2</v>
      </c>
      <c r="K11" s="2">
        <f>(J11*$N$3)/$N$2</f>
        <v>0.11832163742963667</v>
      </c>
      <c r="M11" s="3">
        <v>1</v>
      </c>
      <c r="N11" s="5">
        <f>AVERAGE(K33:K35)</f>
        <v>0.59134398653807452</v>
      </c>
      <c r="O11" s="3">
        <f>STDEV(K33:K35)</f>
        <v>3.1470775696181959E-2</v>
      </c>
      <c r="Q11" s="3">
        <v>1</v>
      </c>
      <c r="R11" s="7">
        <f>AVERAGE(J33:J35)</f>
        <v>0.16689041397852331</v>
      </c>
      <c r="S11" s="3">
        <f>STDEV(J34:J36)</f>
        <v>4.1425865027131881E-3</v>
      </c>
    </row>
    <row r="12" spans="1:19" ht="15.6" x14ac:dyDescent="0.3">
      <c r="A12" t="s">
        <v>15</v>
      </c>
      <c r="B12">
        <v>2001</v>
      </c>
      <c r="C12">
        <v>2</v>
      </c>
      <c r="D12">
        <v>0</v>
      </c>
      <c r="E12">
        <v>0</v>
      </c>
      <c r="F12">
        <v>313.45999999999998</v>
      </c>
      <c r="M12" s="3">
        <v>1.5</v>
      </c>
      <c r="N12" s="5">
        <f>AVERAGE(K46:K48)</f>
        <v>1.4590510208908829</v>
      </c>
      <c r="O12" s="3">
        <f>STDEV(K45:K47)</f>
        <v>0.11188789567932846</v>
      </c>
      <c r="Q12" s="3">
        <v>1.5</v>
      </c>
      <c r="R12" s="7">
        <f>AVERAGE(J46:J48)</f>
        <v>0.41177662145142702</v>
      </c>
      <c r="S12" s="3">
        <f>STDEV(J46:J48)</f>
        <v>8.2648278278346383E-3</v>
      </c>
    </row>
    <row r="13" spans="1:19" ht="15.6" x14ac:dyDescent="0.3">
      <c r="A13" t="s">
        <v>15</v>
      </c>
      <c r="B13">
        <v>2001</v>
      </c>
      <c r="C13">
        <v>3</v>
      </c>
      <c r="D13">
        <v>0</v>
      </c>
      <c r="E13">
        <v>0</v>
      </c>
      <c r="F13">
        <v>327.66000000000003</v>
      </c>
      <c r="M13" s="3">
        <v>3</v>
      </c>
      <c r="N13" s="5">
        <f>AVERAGE(K57:K59)</f>
        <v>2.2262076269517976</v>
      </c>
      <c r="O13" s="3">
        <f>STDEV(K57:K59)</f>
        <v>6.4576686854392093E-2</v>
      </c>
      <c r="Q13" s="3">
        <v>3</v>
      </c>
      <c r="R13" s="7">
        <f>AVERAGE(J57:J59)</f>
        <v>0.62828526360639625</v>
      </c>
      <c r="S13" s="3">
        <f>STDEV(J58:J60)</f>
        <v>2.324992239821513E-2</v>
      </c>
    </row>
    <row r="14" spans="1:19" ht="15.6" x14ac:dyDescent="0.3">
      <c r="A14" t="s">
        <v>15</v>
      </c>
      <c r="B14">
        <v>16</v>
      </c>
      <c r="C14">
        <v>7</v>
      </c>
      <c r="D14">
        <v>1145631.27734375</v>
      </c>
      <c r="E14">
        <v>0</v>
      </c>
      <c r="F14">
        <v>342.63</v>
      </c>
      <c r="G14" t="s">
        <v>8</v>
      </c>
      <c r="H14">
        <v>0</v>
      </c>
      <c r="I14">
        <f t="shared" ref="I14:J16" si="1">(D14/C14+D14)</f>
        <v>1309292.888392857</v>
      </c>
      <c r="J14" s="6">
        <f t="shared" si="1"/>
        <v>0</v>
      </c>
      <c r="K14" s="2">
        <f>(J14*$N$3)/$N$2</f>
        <v>0</v>
      </c>
      <c r="M14" s="3">
        <v>5</v>
      </c>
      <c r="N14" s="5">
        <f>AVERAGE(K69:K71)</f>
        <v>3.3781366582573589</v>
      </c>
      <c r="O14" s="3">
        <f>STDEV(K69:K71)</f>
        <v>0.1092099774261673</v>
      </c>
      <c r="Q14" s="3">
        <v>5</v>
      </c>
      <c r="R14" s="7">
        <f>AVERAGE(J69:J71)</f>
        <v>0.95338523466374347</v>
      </c>
      <c r="S14" s="3">
        <f>STDEV(J70:J72)</f>
        <v>5.2095613591665729E-3</v>
      </c>
    </row>
    <row r="15" spans="1:19" ht="15.6" x14ac:dyDescent="0.3">
      <c r="A15" t="s">
        <v>15</v>
      </c>
      <c r="B15">
        <v>16</v>
      </c>
      <c r="C15">
        <v>9</v>
      </c>
      <c r="D15">
        <v>1223234.0644531299</v>
      </c>
      <c r="E15">
        <v>0</v>
      </c>
      <c r="F15">
        <v>357.54</v>
      </c>
      <c r="G15" t="s">
        <v>8</v>
      </c>
      <c r="H15">
        <v>0</v>
      </c>
      <c r="I15">
        <f t="shared" si="1"/>
        <v>1359148.9605034776</v>
      </c>
      <c r="J15" s="6">
        <f t="shared" si="1"/>
        <v>0</v>
      </c>
      <c r="K15" s="2">
        <f>(J15*$N$3)/$N$2</f>
        <v>0</v>
      </c>
      <c r="M15" s="3">
        <v>10</v>
      </c>
      <c r="N15" s="5">
        <f>AVERAGE(K81:K83)</f>
        <v>3.4671691912424083</v>
      </c>
      <c r="O15" s="3">
        <f>STDEV(K81:K83)</f>
        <v>6.6749317028983082E-2</v>
      </c>
      <c r="Q15" s="3">
        <v>10</v>
      </c>
      <c r="R15" s="7">
        <f>AVERAGE(J81:J83)</f>
        <v>0.9785121939728576</v>
      </c>
      <c r="S15" s="3">
        <f>STDEV(J82:J84)</f>
        <v>4.1427490287243747E-3</v>
      </c>
    </row>
    <row r="16" spans="1:19" ht="15.6" x14ac:dyDescent="0.3">
      <c r="A16" t="s">
        <v>15</v>
      </c>
      <c r="B16">
        <v>16</v>
      </c>
      <c r="C16">
        <v>11</v>
      </c>
      <c r="D16">
        <v>1928819.890625</v>
      </c>
      <c r="E16">
        <v>0</v>
      </c>
      <c r="F16">
        <v>372.49</v>
      </c>
      <c r="G16" t="s">
        <v>8</v>
      </c>
      <c r="H16">
        <v>0</v>
      </c>
      <c r="I16">
        <f t="shared" si="1"/>
        <v>2104167.1534090908</v>
      </c>
      <c r="J16" s="6">
        <f t="shared" si="1"/>
        <v>0</v>
      </c>
      <c r="K16" s="2">
        <f>(J16*$N$3)/$N$2</f>
        <v>0</v>
      </c>
      <c r="M16" s="3">
        <v>20</v>
      </c>
      <c r="N16" s="5">
        <f>AVERAGE(K95)</f>
        <v>3.5433070866141727</v>
      </c>
      <c r="O16" s="3" t="e">
        <f>STDEV(K95)</f>
        <v>#DIV/0!</v>
      </c>
      <c r="Q16" s="3">
        <v>20</v>
      </c>
      <c r="R16" s="7">
        <f>AVERAGE(J95)</f>
        <v>1</v>
      </c>
      <c r="S16" s="3" t="e">
        <f>STDEV(J94:J96)</f>
        <v>#DIV/0!</v>
      </c>
    </row>
    <row r="17" spans="1:19" ht="15.6" x14ac:dyDescent="0.3">
      <c r="A17" t="s">
        <v>15</v>
      </c>
      <c r="B17">
        <v>2001</v>
      </c>
      <c r="C17">
        <v>2</v>
      </c>
      <c r="D17">
        <v>0</v>
      </c>
      <c r="E17">
        <v>0</v>
      </c>
      <c r="F17">
        <v>386.82</v>
      </c>
      <c r="M17" s="3">
        <v>40</v>
      </c>
      <c r="N17" s="5">
        <f>AVERAGE(K109)</f>
        <v>3.5433070866141727</v>
      </c>
      <c r="O17" t="e">
        <f>STDEV(K107:K109)</f>
        <v>#DIV/0!</v>
      </c>
      <c r="Q17" s="3">
        <v>40</v>
      </c>
      <c r="R17" s="7">
        <f>AVERAGE(J109)</f>
        <v>1</v>
      </c>
      <c r="S17" t="e">
        <f>STDEV(J108:J110)</f>
        <v>#DIV/0!</v>
      </c>
    </row>
    <row r="18" spans="1:19" ht="15.6" x14ac:dyDescent="0.3">
      <c r="A18" t="s">
        <v>15</v>
      </c>
      <c r="B18">
        <v>2001</v>
      </c>
      <c r="C18">
        <v>3</v>
      </c>
      <c r="D18">
        <v>0</v>
      </c>
      <c r="E18">
        <v>0</v>
      </c>
      <c r="F18">
        <v>401</v>
      </c>
      <c r="M18" s="3">
        <v>60</v>
      </c>
      <c r="N18" s="5">
        <f>AVERAGE(K123)</f>
        <v>3.5433070866141727</v>
      </c>
      <c r="O18" t="e">
        <f>STDEV(K121:K123)</f>
        <v>#DIV/0!</v>
      </c>
      <c r="Q18" s="3">
        <v>60</v>
      </c>
      <c r="R18" s="7">
        <f>AVERAGE(J123)</f>
        <v>1</v>
      </c>
      <c r="S18" t="e">
        <f>STDEV(J122:J124)</f>
        <v>#DIV/0!</v>
      </c>
    </row>
    <row r="19" spans="1:19" ht="15.6" x14ac:dyDescent="0.3">
      <c r="A19" t="s">
        <v>15</v>
      </c>
      <c r="B19">
        <v>2001</v>
      </c>
      <c r="C19">
        <v>2</v>
      </c>
      <c r="D19">
        <v>0</v>
      </c>
      <c r="E19">
        <v>0</v>
      </c>
      <c r="F19">
        <v>415.44</v>
      </c>
      <c r="M19" s="3">
        <v>300</v>
      </c>
      <c r="N19" s="5" t="e">
        <f>AVERAGE(K135:K137)</f>
        <v>#DIV/0!</v>
      </c>
      <c r="O19" t="e">
        <f>STDEV(K135:K137)</f>
        <v>#DIV/0!</v>
      </c>
      <c r="Q19" s="3">
        <v>300</v>
      </c>
      <c r="R19" s="7" t="e">
        <f>AVERAGE(J135:J137)</f>
        <v>#DIV/0!</v>
      </c>
      <c r="S19" t="e">
        <f>STDEV(J136:J138)</f>
        <v>#DIV/0!</v>
      </c>
    </row>
    <row r="20" spans="1:19" x14ac:dyDescent="0.3">
      <c r="A20" t="s">
        <v>15</v>
      </c>
      <c r="B20">
        <v>2001</v>
      </c>
      <c r="C20">
        <v>3</v>
      </c>
      <c r="D20">
        <v>0</v>
      </c>
      <c r="E20">
        <v>0</v>
      </c>
      <c r="F20">
        <v>429.61</v>
      </c>
    </row>
    <row r="21" spans="1:19" x14ac:dyDescent="0.3">
      <c r="A21" t="s">
        <v>15</v>
      </c>
      <c r="B21">
        <v>15</v>
      </c>
      <c r="C21">
        <v>1</v>
      </c>
      <c r="D21">
        <v>1282411.1240234401</v>
      </c>
      <c r="E21">
        <v>124432.37792968799</v>
      </c>
      <c r="F21">
        <v>444.62</v>
      </c>
      <c r="G21" t="s">
        <v>7</v>
      </c>
      <c r="H21">
        <v>0.5</v>
      </c>
      <c r="I21">
        <f t="shared" ref="I21:J23" si="2">D21/(C21+D21)</f>
        <v>0.99999922021947452</v>
      </c>
      <c r="J21" s="6">
        <f t="shared" si="2"/>
        <v>8.8447917452749991E-2</v>
      </c>
      <c r="K21" s="2">
        <f>(J21*$N$3)/$N$2</f>
        <v>0.31339813270659439</v>
      </c>
    </row>
    <row r="22" spans="1:19" x14ac:dyDescent="0.3">
      <c r="A22" t="s">
        <v>15</v>
      </c>
      <c r="B22">
        <v>15</v>
      </c>
      <c r="C22">
        <v>3</v>
      </c>
      <c r="D22">
        <v>708121.419921875</v>
      </c>
      <c r="E22">
        <v>54916.182128906301</v>
      </c>
      <c r="F22">
        <v>459.45</v>
      </c>
      <c r="G22" t="s">
        <v>7</v>
      </c>
      <c r="H22">
        <v>0.5</v>
      </c>
      <c r="I22">
        <f t="shared" si="2"/>
        <v>0.99999576345637065</v>
      </c>
      <c r="J22" s="6">
        <f t="shared" si="2"/>
        <v>7.1970479542961693E-2</v>
      </c>
      <c r="K22" s="2">
        <f>(J22*$N$3)/$N$2</f>
        <v>0.25501351019159652</v>
      </c>
    </row>
    <row r="23" spans="1:19" x14ac:dyDescent="0.3">
      <c r="A23" t="s">
        <v>15</v>
      </c>
      <c r="B23">
        <v>15</v>
      </c>
      <c r="C23">
        <v>5</v>
      </c>
      <c r="D23">
        <v>1377765.7207031299</v>
      </c>
      <c r="E23">
        <v>144315.5859375</v>
      </c>
      <c r="F23">
        <v>474.3</v>
      </c>
      <c r="G23" t="s">
        <v>7</v>
      </c>
      <c r="H23">
        <v>0.5</v>
      </c>
      <c r="I23">
        <f t="shared" si="2"/>
        <v>0.99999637094915372</v>
      </c>
      <c r="J23" s="6">
        <f t="shared" si="2"/>
        <v>9.481463658207423E-2</v>
      </c>
      <c r="K23" s="2">
        <f>(J23*$N$3)/$N$2</f>
        <v>0.33595737371601098</v>
      </c>
    </row>
    <row r="24" spans="1:19" x14ac:dyDescent="0.3">
      <c r="A24" t="s">
        <v>15</v>
      </c>
      <c r="B24">
        <v>2001</v>
      </c>
      <c r="C24">
        <v>2</v>
      </c>
      <c r="D24">
        <v>0</v>
      </c>
      <c r="E24">
        <v>0</v>
      </c>
      <c r="F24">
        <v>488.72</v>
      </c>
    </row>
    <row r="25" spans="1:19" x14ac:dyDescent="0.3">
      <c r="A25" t="s">
        <v>15</v>
      </c>
      <c r="B25">
        <v>2001</v>
      </c>
      <c r="C25">
        <v>3</v>
      </c>
      <c r="D25">
        <v>0</v>
      </c>
      <c r="E25">
        <v>0</v>
      </c>
      <c r="F25">
        <v>503.01</v>
      </c>
    </row>
    <row r="26" spans="1:19" x14ac:dyDescent="0.3">
      <c r="A26" t="s">
        <v>15</v>
      </c>
      <c r="B26">
        <v>15</v>
      </c>
      <c r="C26">
        <v>7</v>
      </c>
      <c r="D26">
        <v>2758438.16015625</v>
      </c>
      <c r="E26">
        <v>0</v>
      </c>
      <c r="F26">
        <v>517.82000000000005</v>
      </c>
      <c r="G26" t="s">
        <v>8</v>
      </c>
      <c r="H26">
        <v>0.5</v>
      </c>
      <c r="I26">
        <f t="shared" ref="I26:J28" si="3">(D26/C26+D26)</f>
        <v>3152500.7544642859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15</v>
      </c>
      <c r="B27">
        <v>15</v>
      </c>
      <c r="C27">
        <v>9</v>
      </c>
      <c r="D27">
        <v>1837446.24609375</v>
      </c>
      <c r="E27">
        <v>0</v>
      </c>
      <c r="F27">
        <v>532.79</v>
      </c>
      <c r="G27" t="s">
        <v>8</v>
      </c>
      <c r="H27">
        <v>0.5</v>
      </c>
      <c r="I27">
        <f t="shared" si="3"/>
        <v>2041606.9401041667</v>
      </c>
      <c r="J27" s="6">
        <f t="shared" si="3"/>
        <v>0</v>
      </c>
      <c r="K27" s="2">
        <f>(J27*$N$3)/$N$2</f>
        <v>0</v>
      </c>
    </row>
    <row r="28" spans="1:19" x14ac:dyDescent="0.3">
      <c r="A28" t="s">
        <v>15</v>
      </c>
      <c r="B28">
        <v>15</v>
      </c>
      <c r="C28">
        <v>11</v>
      </c>
      <c r="D28">
        <v>1170660.3427734401</v>
      </c>
      <c r="E28">
        <v>0</v>
      </c>
      <c r="F28">
        <v>547.6</v>
      </c>
      <c r="G28" t="s">
        <v>8</v>
      </c>
      <c r="H28">
        <v>0.5</v>
      </c>
      <c r="I28">
        <f t="shared" si="3"/>
        <v>1277084.0102982982</v>
      </c>
      <c r="J28" s="6">
        <f t="shared" si="3"/>
        <v>0</v>
      </c>
      <c r="K28" s="2">
        <f>(J28*$N$3)/$N$2</f>
        <v>0</v>
      </c>
    </row>
    <row r="29" spans="1:19" x14ac:dyDescent="0.3">
      <c r="A29" t="s">
        <v>15</v>
      </c>
      <c r="B29">
        <v>2001</v>
      </c>
      <c r="C29">
        <v>2</v>
      </c>
      <c r="D29">
        <v>0</v>
      </c>
      <c r="E29">
        <v>0</v>
      </c>
      <c r="F29">
        <v>562.04999999999995</v>
      </c>
    </row>
    <row r="30" spans="1:19" x14ac:dyDescent="0.3">
      <c r="A30" t="s">
        <v>15</v>
      </c>
      <c r="B30">
        <v>2001</v>
      </c>
      <c r="C30">
        <v>3</v>
      </c>
      <c r="D30">
        <v>0</v>
      </c>
      <c r="E30">
        <v>0</v>
      </c>
      <c r="F30">
        <v>576.23</v>
      </c>
    </row>
    <row r="31" spans="1:19" x14ac:dyDescent="0.3">
      <c r="A31" t="s">
        <v>15</v>
      </c>
      <c r="B31">
        <v>2001</v>
      </c>
      <c r="C31">
        <v>2</v>
      </c>
      <c r="D31">
        <v>0</v>
      </c>
      <c r="E31">
        <v>0</v>
      </c>
      <c r="F31">
        <v>590.70000000000005</v>
      </c>
    </row>
    <row r="32" spans="1:19" x14ac:dyDescent="0.3">
      <c r="A32" t="s">
        <v>15</v>
      </c>
      <c r="B32">
        <v>2001</v>
      </c>
      <c r="C32">
        <v>3</v>
      </c>
      <c r="D32">
        <v>0</v>
      </c>
      <c r="E32">
        <v>0</v>
      </c>
      <c r="F32">
        <v>604.88</v>
      </c>
    </row>
    <row r="33" spans="1:11" x14ac:dyDescent="0.3">
      <c r="A33" t="s">
        <v>15</v>
      </c>
      <c r="B33">
        <v>14</v>
      </c>
      <c r="C33">
        <v>1</v>
      </c>
      <c r="D33">
        <v>741198.99511718797</v>
      </c>
      <c r="E33">
        <v>138258.10644531299</v>
      </c>
      <c r="F33">
        <v>619.72</v>
      </c>
      <c r="G33" t="s">
        <v>7</v>
      </c>
      <c r="H33">
        <v>1</v>
      </c>
      <c r="I33">
        <f t="shared" ref="I33:J35" si="4">D33/(C33+D33)</f>
        <v>0.99999865083647255</v>
      </c>
      <c r="J33" s="6">
        <f t="shared" si="4"/>
        <v>0.15720847122579898</v>
      </c>
      <c r="K33" s="2">
        <f>(J33*$N$3)/$N$2</f>
        <v>0.55703789017015382</v>
      </c>
    </row>
    <row r="34" spans="1:11" x14ac:dyDescent="0.3">
      <c r="A34" t="s">
        <v>15</v>
      </c>
      <c r="B34">
        <v>14</v>
      </c>
      <c r="C34">
        <v>3</v>
      </c>
      <c r="D34">
        <v>1085073.7871093799</v>
      </c>
      <c r="E34">
        <v>229626.365234375</v>
      </c>
      <c r="F34">
        <v>634.66999999999996</v>
      </c>
      <c r="G34" t="s">
        <v>7</v>
      </c>
      <c r="H34">
        <v>1</v>
      </c>
      <c r="I34">
        <f t="shared" si="4"/>
        <v>0.99999723521870931</v>
      </c>
      <c r="J34" s="6">
        <f t="shared" si="4"/>
        <v>0.17466063636260579</v>
      </c>
      <c r="K34" s="2">
        <f>(J34*$N$3)/$N$2</f>
        <v>0.61887627057616212</v>
      </c>
    </row>
    <row r="35" spans="1:11" x14ac:dyDescent="0.3">
      <c r="A35" t="s">
        <v>15</v>
      </c>
      <c r="B35">
        <v>14</v>
      </c>
      <c r="C35">
        <v>5</v>
      </c>
      <c r="D35">
        <v>1026349.2490234399</v>
      </c>
      <c r="E35">
        <v>208434.05761718799</v>
      </c>
      <c r="F35">
        <v>649.55999999999995</v>
      </c>
      <c r="G35" t="s">
        <v>7</v>
      </c>
      <c r="H35">
        <v>1</v>
      </c>
      <c r="I35">
        <f t="shared" si="4"/>
        <v>0.99999512838768412</v>
      </c>
      <c r="J35" s="6">
        <f t="shared" si="4"/>
        <v>0.16880213434716507</v>
      </c>
      <c r="K35" s="2">
        <f>(J35*$N$3)/$N$2</f>
        <v>0.59811779886790761</v>
      </c>
    </row>
    <row r="36" spans="1:11" x14ac:dyDescent="0.3">
      <c r="A36" t="s">
        <v>15</v>
      </c>
      <c r="B36">
        <v>2001</v>
      </c>
      <c r="C36">
        <v>2</v>
      </c>
      <c r="D36">
        <v>0</v>
      </c>
      <c r="E36">
        <v>0</v>
      </c>
      <c r="F36">
        <v>663.95</v>
      </c>
    </row>
    <row r="37" spans="1:11" x14ac:dyDescent="0.3">
      <c r="A37" t="s">
        <v>15</v>
      </c>
      <c r="B37">
        <v>2001</v>
      </c>
      <c r="C37">
        <v>3</v>
      </c>
      <c r="D37">
        <v>0</v>
      </c>
      <c r="E37">
        <v>0</v>
      </c>
      <c r="F37">
        <v>678.16</v>
      </c>
    </row>
    <row r="38" spans="1:11" x14ac:dyDescent="0.3">
      <c r="A38" t="s">
        <v>15</v>
      </c>
      <c r="B38">
        <v>14</v>
      </c>
      <c r="C38">
        <v>7</v>
      </c>
      <c r="D38">
        <v>2606578.2509765602</v>
      </c>
      <c r="E38">
        <v>0</v>
      </c>
      <c r="F38">
        <v>693.11</v>
      </c>
      <c r="G38" t="s">
        <v>8</v>
      </c>
      <c r="H38">
        <v>1</v>
      </c>
      <c r="I38">
        <f t="shared" ref="I38:J40" si="5">(D38/C38+D38)</f>
        <v>2978946.5725446404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15</v>
      </c>
      <c r="B39">
        <v>14</v>
      </c>
      <c r="C39">
        <v>9</v>
      </c>
      <c r="D39">
        <v>2619398.6787109398</v>
      </c>
      <c r="E39">
        <v>0</v>
      </c>
      <c r="F39">
        <v>707.92</v>
      </c>
      <c r="G39" t="s">
        <v>8</v>
      </c>
      <c r="H39">
        <v>1</v>
      </c>
      <c r="I39">
        <f t="shared" si="5"/>
        <v>2910442.9763454888</v>
      </c>
      <c r="J39" s="6">
        <f t="shared" si="5"/>
        <v>0</v>
      </c>
      <c r="K39" s="2">
        <f>(J39*$N$3)/$N$2</f>
        <v>0</v>
      </c>
    </row>
    <row r="40" spans="1:11" x14ac:dyDescent="0.3">
      <c r="A40" t="s">
        <v>15</v>
      </c>
      <c r="B40">
        <v>14</v>
      </c>
      <c r="C40">
        <v>11</v>
      </c>
      <c r="D40">
        <v>1783435.63671875</v>
      </c>
      <c r="E40">
        <v>0</v>
      </c>
      <c r="F40">
        <v>722.88</v>
      </c>
      <c r="G40" t="s">
        <v>8</v>
      </c>
      <c r="H40">
        <v>1</v>
      </c>
      <c r="I40">
        <f t="shared" si="5"/>
        <v>1945566.1491477273</v>
      </c>
      <c r="J40" s="6">
        <f t="shared" si="5"/>
        <v>0</v>
      </c>
      <c r="K40" s="2">
        <f>(J40*$N$3)/$N$2</f>
        <v>0</v>
      </c>
    </row>
    <row r="41" spans="1:11" x14ac:dyDescent="0.3">
      <c r="A41" t="s">
        <v>15</v>
      </c>
      <c r="B41">
        <v>2001</v>
      </c>
      <c r="C41">
        <v>2</v>
      </c>
      <c r="D41">
        <v>0</v>
      </c>
      <c r="E41">
        <v>0</v>
      </c>
      <c r="F41">
        <v>737.21</v>
      </c>
    </row>
    <row r="42" spans="1:11" x14ac:dyDescent="0.3">
      <c r="A42" t="s">
        <v>15</v>
      </c>
      <c r="B42">
        <v>2001</v>
      </c>
      <c r="C42">
        <v>3</v>
      </c>
      <c r="D42">
        <v>0</v>
      </c>
      <c r="E42">
        <v>0</v>
      </c>
      <c r="F42">
        <v>751.4</v>
      </c>
    </row>
    <row r="43" spans="1:11" x14ac:dyDescent="0.3">
      <c r="A43" t="s">
        <v>15</v>
      </c>
      <c r="B43">
        <v>2001</v>
      </c>
      <c r="C43">
        <v>2</v>
      </c>
      <c r="D43">
        <v>0</v>
      </c>
      <c r="E43">
        <v>0</v>
      </c>
      <c r="F43">
        <v>765.87</v>
      </c>
    </row>
    <row r="44" spans="1:11" x14ac:dyDescent="0.3">
      <c r="A44" t="s">
        <v>15</v>
      </c>
      <c r="B44">
        <v>2001</v>
      </c>
      <c r="C44">
        <v>3</v>
      </c>
      <c r="D44">
        <v>0</v>
      </c>
      <c r="E44">
        <v>0</v>
      </c>
      <c r="F44">
        <v>780.06</v>
      </c>
    </row>
    <row r="45" spans="1:11" x14ac:dyDescent="0.3">
      <c r="A45" t="s">
        <v>15</v>
      </c>
      <c r="B45">
        <v>13</v>
      </c>
      <c r="C45">
        <v>1</v>
      </c>
      <c r="D45">
        <v>397992.802734375</v>
      </c>
      <c r="E45">
        <v>221960.78369140599</v>
      </c>
      <c r="F45">
        <v>794.92</v>
      </c>
      <c r="G45" t="s">
        <v>7</v>
      </c>
      <c r="H45">
        <v>1.5</v>
      </c>
      <c r="I45">
        <f t="shared" ref="I45:J47" si="6">D45/(C45+D45)</f>
        <v>0.99999748739806216</v>
      </c>
      <c r="J45" s="6">
        <f t="shared" si="6"/>
        <v>0.35802806621553185</v>
      </c>
      <c r="K45" s="2">
        <f>(J45*$N$3)/$N$2</f>
        <v>1.2686033842282622</v>
      </c>
    </row>
    <row r="46" spans="1:11" x14ac:dyDescent="0.3">
      <c r="A46" t="s">
        <v>15</v>
      </c>
      <c r="B46">
        <v>13</v>
      </c>
      <c r="C46">
        <v>3</v>
      </c>
      <c r="D46">
        <v>731964.81640625</v>
      </c>
      <c r="E46">
        <v>524887.65625</v>
      </c>
      <c r="F46">
        <v>809.9</v>
      </c>
      <c r="G46" t="s">
        <v>7</v>
      </c>
      <c r="H46">
        <v>1.5</v>
      </c>
      <c r="I46">
        <f t="shared" si="6"/>
        <v>0.99999590145914508</v>
      </c>
      <c r="J46" s="6">
        <f t="shared" si="6"/>
        <v>0.41762073725382814</v>
      </c>
      <c r="K46" s="2">
        <f>(J46*$N$3)/$N$2</f>
        <v>1.4797585178285246</v>
      </c>
    </row>
    <row r="47" spans="1:11" x14ac:dyDescent="0.3">
      <c r="A47" t="s">
        <v>15</v>
      </c>
      <c r="B47">
        <v>13</v>
      </c>
      <c r="C47">
        <v>5</v>
      </c>
      <c r="D47">
        <v>826712.025390625</v>
      </c>
      <c r="E47">
        <v>564900.93652343797</v>
      </c>
      <c r="F47">
        <v>824.83</v>
      </c>
      <c r="G47" t="s">
        <v>7</v>
      </c>
      <c r="H47">
        <v>1.5</v>
      </c>
      <c r="I47">
        <f t="shared" si="6"/>
        <v>0.99999395198133534</v>
      </c>
      <c r="J47" s="6">
        <f t="shared" si="6"/>
        <v>0.40593250564902583</v>
      </c>
      <c r="K47" s="2">
        <f>(J47*$N$3)/$N$2</f>
        <v>1.4383435239532409</v>
      </c>
    </row>
    <row r="48" spans="1:11" x14ac:dyDescent="0.3">
      <c r="A48" t="s">
        <v>15</v>
      </c>
      <c r="B48">
        <v>2001</v>
      </c>
      <c r="C48">
        <v>2</v>
      </c>
      <c r="D48">
        <v>0</v>
      </c>
      <c r="E48">
        <v>0</v>
      </c>
      <c r="F48">
        <v>839.26</v>
      </c>
    </row>
    <row r="49" spans="1:11" x14ac:dyDescent="0.3">
      <c r="A49" t="s">
        <v>15</v>
      </c>
      <c r="B49">
        <v>2001</v>
      </c>
      <c r="C49">
        <v>3</v>
      </c>
      <c r="D49">
        <v>0</v>
      </c>
      <c r="E49">
        <v>0</v>
      </c>
      <c r="F49">
        <v>853.47</v>
      </c>
    </row>
    <row r="50" spans="1:11" x14ac:dyDescent="0.3">
      <c r="A50" t="s">
        <v>15</v>
      </c>
      <c r="B50">
        <v>13</v>
      </c>
      <c r="C50">
        <v>7</v>
      </c>
      <c r="D50">
        <v>2800384.2597656301</v>
      </c>
      <c r="E50">
        <v>0</v>
      </c>
      <c r="F50">
        <v>868.33</v>
      </c>
      <c r="G50" t="s">
        <v>8</v>
      </c>
      <c r="H50">
        <v>1.5</v>
      </c>
      <c r="I50">
        <f t="shared" ref="I50:J52" si="7">(D50/C50+D50)</f>
        <v>3200439.1540178629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15</v>
      </c>
      <c r="B51">
        <v>13</v>
      </c>
      <c r="C51">
        <v>9</v>
      </c>
      <c r="D51">
        <v>2112236.34765625</v>
      </c>
      <c r="E51">
        <v>0</v>
      </c>
      <c r="F51">
        <v>883.3</v>
      </c>
      <c r="G51" t="s">
        <v>8</v>
      </c>
      <c r="H51">
        <v>1.5</v>
      </c>
      <c r="I51">
        <f t="shared" si="7"/>
        <v>2346929.275173611</v>
      </c>
      <c r="J51" s="6">
        <f t="shared" si="7"/>
        <v>0</v>
      </c>
      <c r="K51" s="2">
        <f>(J51*$N$3)/$N$2</f>
        <v>0</v>
      </c>
    </row>
    <row r="52" spans="1:11" x14ac:dyDescent="0.3">
      <c r="A52" t="s">
        <v>15</v>
      </c>
      <c r="B52">
        <v>13</v>
      </c>
      <c r="C52">
        <v>11</v>
      </c>
      <c r="D52">
        <v>1819299.71484375</v>
      </c>
      <c r="E52">
        <v>0</v>
      </c>
      <c r="F52">
        <v>898.16</v>
      </c>
      <c r="G52" t="s">
        <v>8</v>
      </c>
      <c r="H52">
        <v>1.5</v>
      </c>
      <c r="I52">
        <f t="shared" si="7"/>
        <v>1984690.5980113638</v>
      </c>
      <c r="J52" s="6">
        <f t="shared" si="7"/>
        <v>0</v>
      </c>
      <c r="K52" s="2">
        <f>(J52*$N$3)/$N$2</f>
        <v>0</v>
      </c>
    </row>
    <row r="53" spans="1:11" x14ac:dyDescent="0.3">
      <c r="A53" t="s">
        <v>15</v>
      </c>
      <c r="B53">
        <v>2001</v>
      </c>
      <c r="C53">
        <v>2</v>
      </c>
      <c r="D53">
        <v>0</v>
      </c>
      <c r="E53">
        <v>0</v>
      </c>
      <c r="F53">
        <v>912.62</v>
      </c>
    </row>
    <row r="54" spans="1:11" x14ac:dyDescent="0.3">
      <c r="A54" t="s">
        <v>15</v>
      </c>
      <c r="B54">
        <v>2001</v>
      </c>
      <c r="C54">
        <v>3</v>
      </c>
      <c r="D54">
        <v>0</v>
      </c>
      <c r="E54">
        <v>0</v>
      </c>
      <c r="F54">
        <v>926.5</v>
      </c>
    </row>
    <row r="55" spans="1:11" x14ac:dyDescent="0.3">
      <c r="A55" t="s">
        <v>15</v>
      </c>
      <c r="B55">
        <v>2001</v>
      </c>
      <c r="C55">
        <v>2</v>
      </c>
      <c r="D55">
        <v>0</v>
      </c>
      <c r="E55">
        <v>0</v>
      </c>
      <c r="F55">
        <v>940.94</v>
      </c>
    </row>
    <row r="56" spans="1:11" x14ac:dyDescent="0.3">
      <c r="A56" t="s">
        <v>15</v>
      </c>
      <c r="B56">
        <v>2001</v>
      </c>
      <c r="C56">
        <v>3</v>
      </c>
      <c r="D56">
        <v>0</v>
      </c>
      <c r="E56">
        <v>0</v>
      </c>
      <c r="F56">
        <v>954.88</v>
      </c>
    </row>
    <row r="57" spans="1:11" x14ac:dyDescent="0.3">
      <c r="A57" t="s">
        <v>15</v>
      </c>
      <c r="B57">
        <v>12</v>
      </c>
      <c r="C57">
        <v>1</v>
      </c>
      <c r="D57">
        <v>232789.0234375</v>
      </c>
      <c r="E57">
        <v>409153.607421875</v>
      </c>
      <c r="F57">
        <v>969.68</v>
      </c>
      <c r="G57" t="s">
        <v>7</v>
      </c>
      <c r="H57">
        <v>3</v>
      </c>
      <c r="I57">
        <f t="shared" ref="I57:J59" si="8">D57/(C57+D57)</f>
        <v>0.99999570428326257</v>
      </c>
      <c r="J57" s="6">
        <f t="shared" si="8"/>
        <v>0.63736787020070151</v>
      </c>
      <c r="K57" s="2">
        <f>(J57*$N$3)/$N$2</f>
        <v>2.2583900912623283</v>
      </c>
    </row>
    <row r="58" spans="1:11" x14ac:dyDescent="0.3">
      <c r="A58" t="s">
        <v>15</v>
      </c>
      <c r="B58">
        <v>12</v>
      </c>
      <c r="C58">
        <v>3</v>
      </c>
      <c r="D58">
        <v>313223.775390625</v>
      </c>
      <c r="E58">
        <v>557287.529296875</v>
      </c>
      <c r="F58">
        <v>984.64</v>
      </c>
      <c r="G58" t="s">
        <v>7</v>
      </c>
      <c r="H58">
        <v>3</v>
      </c>
      <c r="I58">
        <f t="shared" si="8"/>
        <v>0.99999042227473611</v>
      </c>
      <c r="J58" s="6">
        <f t="shared" si="8"/>
        <v>0.64018413809908248</v>
      </c>
      <c r="K58" s="2">
        <f>(J58*$N$3)/$N$2</f>
        <v>2.2683689932644655</v>
      </c>
    </row>
    <row r="59" spans="1:11" x14ac:dyDescent="0.3">
      <c r="A59" t="s">
        <v>15</v>
      </c>
      <c r="B59">
        <v>12</v>
      </c>
      <c r="C59">
        <v>5</v>
      </c>
      <c r="D59">
        <v>498117.11181640602</v>
      </c>
      <c r="E59">
        <v>770336.94921875</v>
      </c>
      <c r="F59">
        <v>999.46</v>
      </c>
      <c r="G59" t="s">
        <v>7</v>
      </c>
      <c r="H59">
        <v>3</v>
      </c>
      <c r="I59">
        <f t="shared" si="8"/>
        <v>0.99998996230064596</v>
      </c>
      <c r="J59" s="6">
        <f t="shared" si="8"/>
        <v>0.60730378251940464</v>
      </c>
      <c r="K59" s="2">
        <f>(J59*$N$3)/$N$2</f>
        <v>2.1518637963285987</v>
      </c>
    </row>
    <row r="60" spans="1:11" x14ac:dyDescent="0.3">
      <c r="A60" t="s">
        <v>15</v>
      </c>
      <c r="B60">
        <v>2001</v>
      </c>
      <c r="C60">
        <v>2</v>
      </c>
      <c r="D60">
        <v>0</v>
      </c>
      <c r="E60">
        <v>0</v>
      </c>
      <c r="F60">
        <v>1013.92</v>
      </c>
    </row>
    <row r="61" spans="1:11" x14ac:dyDescent="0.3">
      <c r="A61" t="s">
        <v>15</v>
      </c>
      <c r="B61">
        <v>2001</v>
      </c>
      <c r="C61">
        <v>3</v>
      </c>
      <c r="D61">
        <v>0</v>
      </c>
      <c r="E61">
        <v>0</v>
      </c>
      <c r="F61">
        <v>1028.06</v>
      </c>
    </row>
    <row r="62" spans="1:11" x14ac:dyDescent="0.3">
      <c r="A62" t="s">
        <v>15</v>
      </c>
      <c r="B62">
        <v>12</v>
      </c>
      <c r="C62">
        <v>7</v>
      </c>
      <c r="D62">
        <v>3337087.7675781301</v>
      </c>
      <c r="E62">
        <v>0</v>
      </c>
      <c r="F62">
        <v>1043.03</v>
      </c>
      <c r="G62" t="s">
        <v>8</v>
      </c>
      <c r="H62">
        <v>3</v>
      </c>
      <c r="I62">
        <f t="shared" ref="I62:J64" si="9">(D62/C62+D62)</f>
        <v>3813814.5915178629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15</v>
      </c>
      <c r="B63">
        <v>12</v>
      </c>
      <c r="C63">
        <v>9</v>
      </c>
      <c r="D63">
        <v>3012178.47265625</v>
      </c>
      <c r="E63">
        <v>0</v>
      </c>
      <c r="F63">
        <v>1057.99</v>
      </c>
      <c r="G63" t="s">
        <v>8</v>
      </c>
      <c r="H63">
        <v>3</v>
      </c>
      <c r="I63">
        <f t="shared" si="9"/>
        <v>3346864.9696180555</v>
      </c>
      <c r="J63" s="6">
        <f t="shared" si="9"/>
        <v>0</v>
      </c>
      <c r="K63" s="2">
        <f>(J63*$N$3)/$N$2</f>
        <v>0</v>
      </c>
    </row>
    <row r="64" spans="1:11" x14ac:dyDescent="0.3">
      <c r="A64" t="s">
        <v>15</v>
      </c>
      <c r="B64">
        <v>12</v>
      </c>
      <c r="C64">
        <v>11</v>
      </c>
      <c r="D64">
        <v>1860405.2480468799</v>
      </c>
      <c r="E64">
        <v>0</v>
      </c>
      <c r="F64">
        <v>1072.78</v>
      </c>
      <c r="G64" t="s">
        <v>8</v>
      </c>
      <c r="H64">
        <v>3</v>
      </c>
      <c r="I64">
        <f t="shared" si="9"/>
        <v>2029532.9978693235</v>
      </c>
      <c r="J64" s="6">
        <f t="shared" si="9"/>
        <v>0</v>
      </c>
      <c r="K64" s="2">
        <f>(J64*$N$3)/$N$2</f>
        <v>0</v>
      </c>
    </row>
    <row r="65" spans="1:11" x14ac:dyDescent="0.3">
      <c r="A65" t="s">
        <v>15</v>
      </c>
      <c r="B65">
        <v>2001</v>
      </c>
      <c r="C65">
        <v>2</v>
      </c>
      <c r="D65">
        <v>0</v>
      </c>
      <c r="E65">
        <v>0</v>
      </c>
      <c r="F65">
        <v>1087.24</v>
      </c>
    </row>
    <row r="66" spans="1:11" x14ac:dyDescent="0.3">
      <c r="A66" t="s">
        <v>15</v>
      </c>
      <c r="B66">
        <v>2001</v>
      </c>
      <c r="C66">
        <v>3</v>
      </c>
      <c r="D66">
        <v>0</v>
      </c>
      <c r="E66">
        <v>0</v>
      </c>
      <c r="F66">
        <v>1101.53</v>
      </c>
    </row>
    <row r="67" spans="1:11" x14ac:dyDescent="0.3">
      <c r="A67" t="s">
        <v>15</v>
      </c>
      <c r="B67">
        <v>2001</v>
      </c>
      <c r="C67">
        <v>2</v>
      </c>
      <c r="D67">
        <v>0</v>
      </c>
      <c r="E67">
        <v>0</v>
      </c>
      <c r="F67">
        <v>1115.82</v>
      </c>
    </row>
    <row r="68" spans="1:11" x14ac:dyDescent="0.3">
      <c r="A68" t="s">
        <v>15</v>
      </c>
      <c r="B68">
        <v>2001</v>
      </c>
      <c r="C68">
        <v>3</v>
      </c>
      <c r="D68">
        <v>0</v>
      </c>
      <c r="E68">
        <v>0</v>
      </c>
      <c r="F68">
        <v>1130.04</v>
      </c>
    </row>
    <row r="69" spans="1:11" x14ac:dyDescent="0.3">
      <c r="A69" t="s">
        <v>15</v>
      </c>
      <c r="B69">
        <v>11</v>
      </c>
      <c r="C69">
        <v>1</v>
      </c>
      <c r="D69">
        <v>5624.537109375</v>
      </c>
      <c r="E69">
        <v>492991.953125</v>
      </c>
      <c r="F69">
        <v>1145.02</v>
      </c>
      <c r="G69" t="s">
        <v>7</v>
      </c>
      <c r="H69">
        <v>5</v>
      </c>
      <c r="I69">
        <f t="shared" ref="I69:J71" si="10">D69/(C69+D69)</f>
        <v>0.99982223919591007</v>
      </c>
      <c r="J69" s="6">
        <f t="shared" si="10"/>
        <v>0.98871971300682182</v>
      </c>
      <c r="K69" s="2">
        <f>(J69*$N$3)/$N$2</f>
        <v>3.503337565772203</v>
      </c>
    </row>
    <row r="70" spans="1:11" x14ac:dyDescent="0.3">
      <c r="A70" t="s">
        <v>15</v>
      </c>
      <c r="B70">
        <v>11</v>
      </c>
      <c r="C70">
        <v>3</v>
      </c>
      <c r="D70">
        <v>62340.212890625</v>
      </c>
      <c r="E70">
        <v>966405.228515625</v>
      </c>
      <c r="F70">
        <v>1159.97</v>
      </c>
      <c r="G70" t="s">
        <v>7</v>
      </c>
      <c r="H70">
        <v>5</v>
      </c>
      <c r="I70">
        <f t="shared" si="10"/>
        <v>0.99995187928467433</v>
      </c>
      <c r="J70" s="6">
        <f t="shared" si="10"/>
        <v>0.9394017116562785</v>
      </c>
      <c r="K70" s="2">
        <f>(J70*$N$3)/$N$2</f>
        <v>3.3285887420891753</v>
      </c>
    </row>
    <row r="71" spans="1:11" x14ac:dyDescent="0.3">
      <c r="A71" t="s">
        <v>15</v>
      </c>
      <c r="B71">
        <v>11</v>
      </c>
      <c r="C71">
        <v>5</v>
      </c>
      <c r="D71">
        <v>78717.426269531294</v>
      </c>
      <c r="E71">
        <v>1079475.6376953099</v>
      </c>
      <c r="F71">
        <v>1174.79</v>
      </c>
      <c r="G71" t="s">
        <v>7</v>
      </c>
      <c r="H71">
        <v>5</v>
      </c>
      <c r="I71">
        <f t="shared" si="10"/>
        <v>0.99993648569744431</v>
      </c>
      <c r="J71" s="6">
        <f t="shared" si="10"/>
        <v>0.93203427932813032</v>
      </c>
      <c r="K71" s="2">
        <f>(J71*$N$3)/$N$2</f>
        <v>3.3024836669106974</v>
      </c>
    </row>
    <row r="72" spans="1:11" x14ac:dyDescent="0.3">
      <c r="A72" t="s">
        <v>15</v>
      </c>
      <c r="B72">
        <v>2001</v>
      </c>
      <c r="C72">
        <v>2</v>
      </c>
      <c r="D72">
        <v>0</v>
      </c>
      <c r="E72">
        <v>0</v>
      </c>
      <c r="F72">
        <v>1189.24</v>
      </c>
    </row>
    <row r="73" spans="1:11" x14ac:dyDescent="0.3">
      <c r="A73" t="s">
        <v>15</v>
      </c>
      <c r="B73">
        <v>2001</v>
      </c>
      <c r="C73">
        <v>3</v>
      </c>
      <c r="D73">
        <v>0</v>
      </c>
      <c r="E73">
        <v>0</v>
      </c>
      <c r="F73">
        <v>1203.4000000000001</v>
      </c>
    </row>
    <row r="74" spans="1:11" x14ac:dyDescent="0.3">
      <c r="A74" t="s">
        <v>15</v>
      </c>
      <c r="B74">
        <v>11</v>
      </c>
      <c r="C74">
        <v>7</v>
      </c>
      <c r="D74">
        <v>2712688.14453125</v>
      </c>
      <c r="E74">
        <v>0</v>
      </c>
      <c r="F74">
        <v>1218.3900000000001</v>
      </c>
      <c r="G74" t="s">
        <v>8</v>
      </c>
      <c r="H74">
        <v>5</v>
      </c>
      <c r="I74">
        <f t="shared" ref="I74:J76" si="11">(D74/C74+D74)</f>
        <v>3100215.0223214286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15</v>
      </c>
      <c r="B75">
        <v>11</v>
      </c>
      <c r="C75">
        <v>9</v>
      </c>
      <c r="D75">
        <v>2178221.9472656301</v>
      </c>
      <c r="E75">
        <v>0</v>
      </c>
      <c r="F75">
        <v>1233.25</v>
      </c>
      <c r="G75" t="s">
        <v>8</v>
      </c>
      <c r="H75">
        <v>5</v>
      </c>
      <c r="I75">
        <f t="shared" si="11"/>
        <v>2420246.6080729226</v>
      </c>
      <c r="J75" s="6">
        <f t="shared" si="11"/>
        <v>0</v>
      </c>
      <c r="K75" s="2">
        <f>(J75*$N$3)/$N$2</f>
        <v>0</v>
      </c>
    </row>
    <row r="76" spans="1:11" x14ac:dyDescent="0.3">
      <c r="A76" t="s">
        <v>15</v>
      </c>
      <c r="B76">
        <v>11</v>
      </c>
      <c r="C76">
        <v>11</v>
      </c>
      <c r="D76">
        <v>2075288.5839843799</v>
      </c>
      <c r="E76">
        <v>0</v>
      </c>
      <c r="F76">
        <v>1248.2</v>
      </c>
      <c r="G76" t="s">
        <v>8</v>
      </c>
      <c r="H76">
        <v>5</v>
      </c>
      <c r="I76">
        <f t="shared" si="11"/>
        <v>2263951.1825284143</v>
      </c>
      <c r="J76" s="6">
        <f t="shared" si="11"/>
        <v>0</v>
      </c>
      <c r="K76" s="2">
        <f>(J76*$N$3)/$N$2</f>
        <v>0</v>
      </c>
    </row>
    <row r="77" spans="1:11" x14ac:dyDescent="0.3">
      <c r="A77" t="s">
        <v>15</v>
      </c>
      <c r="B77">
        <v>2001</v>
      </c>
      <c r="C77">
        <v>2</v>
      </c>
      <c r="D77">
        <v>0</v>
      </c>
      <c r="E77">
        <v>0</v>
      </c>
      <c r="F77">
        <v>1262.5</v>
      </c>
    </row>
    <row r="78" spans="1:11" x14ac:dyDescent="0.3">
      <c r="A78" t="s">
        <v>15</v>
      </c>
      <c r="B78">
        <v>2001</v>
      </c>
      <c r="C78">
        <v>3</v>
      </c>
      <c r="D78">
        <v>0</v>
      </c>
      <c r="E78">
        <v>0</v>
      </c>
      <c r="F78">
        <v>1276.7</v>
      </c>
    </row>
    <row r="79" spans="1:11" x14ac:dyDescent="0.3">
      <c r="A79" t="s">
        <v>15</v>
      </c>
      <c r="B79">
        <v>2001</v>
      </c>
      <c r="C79">
        <v>2</v>
      </c>
      <c r="D79">
        <v>0</v>
      </c>
      <c r="E79">
        <v>0</v>
      </c>
      <c r="F79">
        <v>1291.1099999999999</v>
      </c>
    </row>
    <row r="80" spans="1:11" x14ac:dyDescent="0.3">
      <c r="A80" t="s">
        <v>15</v>
      </c>
      <c r="B80">
        <v>2001</v>
      </c>
      <c r="C80">
        <v>3</v>
      </c>
      <c r="D80">
        <v>0</v>
      </c>
      <c r="E80">
        <v>0</v>
      </c>
      <c r="F80">
        <v>1305.29</v>
      </c>
    </row>
    <row r="81" spans="1:11" x14ac:dyDescent="0.3">
      <c r="A81" t="s">
        <v>15</v>
      </c>
      <c r="B81">
        <v>10</v>
      </c>
      <c r="C81">
        <v>1</v>
      </c>
      <c r="D81">
        <v>0</v>
      </c>
      <c r="E81">
        <v>388758.27636718802</v>
      </c>
      <c r="F81">
        <v>1320.26</v>
      </c>
      <c r="G81" t="s">
        <v>7</v>
      </c>
      <c r="H81">
        <v>10</v>
      </c>
      <c r="I81">
        <f t="shared" ref="I81:J83" si="12">D81/(C81+D81)</f>
        <v>0</v>
      </c>
      <c r="J81" s="6">
        <f t="shared" si="12"/>
        <v>1</v>
      </c>
      <c r="K81" s="2">
        <f>(J81*$N$3)/$N$2</f>
        <v>3.5433070866141727</v>
      </c>
    </row>
    <row r="82" spans="1:11" x14ac:dyDescent="0.3">
      <c r="A82" t="s">
        <v>15</v>
      </c>
      <c r="B82">
        <v>10</v>
      </c>
      <c r="C82">
        <v>3</v>
      </c>
      <c r="D82">
        <v>41839.476074218801</v>
      </c>
      <c r="E82">
        <v>1386014.8056640599</v>
      </c>
      <c r="F82">
        <v>1335.18</v>
      </c>
      <c r="G82" t="s">
        <v>7</v>
      </c>
      <c r="H82">
        <v>10</v>
      </c>
      <c r="I82">
        <f t="shared" si="12"/>
        <v>0.99992830252218634</v>
      </c>
      <c r="J82" s="6">
        <f t="shared" si="12"/>
        <v>0.97069765689025134</v>
      </c>
      <c r="K82" s="2">
        <f>(J82*$N$3)/$N$2</f>
        <v>3.4394798866189999</v>
      </c>
    </row>
    <row r="83" spans="1:11" x14ac:dyDescent="0.3">
      <c r="A83" t="s">
        <v>15</v>
      </c>
      <c r="B83">
        <v>10</v>
      </c>
      <c r="C83">
        <v>5</v>
      </c>
      <c r="D83">
        <v>60267.117675781301</v>
      </c>
      <c r="E83">
        <v>1653762.3232421901</v>
      </c>
      <c r="F83">
        <v>1350</v>
      </c>
      <c r="G83" t="s">
        <v>7</v>
      </c>
      <c r="H83">
        <v>10</v>
      </c>
      <c r="I83">
        <f t="shared" si="12"/>
        <v>0.99991704290154704</v>
      </c>
      <c r="J83" s="6">
        <f t="shared" si="12"/>
        <v>0.96483892502832136</v>
      </c>
      <c r="K83" s="2">
        <f>(J83*$N$3)/$N$2</f>
        <v>3.4187206004940518</v>
      </c>
    </row>
    <row r="84" spans="1:11" x14ac:dyDescent="0.3">
      <c r="A84" t="s">
        <v>15</v>
      </c>
      <c r="B84">
        <v>2001</v>
      </c>
      <c r="C84">
        <v>2</v>
      </c>
      <c r="D84">
        <v>0</v>
      </c>
      <c r="E84">
        <v>0</v>
      </c>
      <c r="F84">
        <v>1364.46</v>
      </c>
    </row>
    <row r="85" spans="1:11" x14ac:dyDescent="0.3">
      <c r="A85" t="s">
        <v>15</v>
      </c>
      <c r="B85">
        <v>2001</v>
      </c>
      <c r="C85">
        <v>3</v>
      </c>
      <c r="D85">
        <v>0</v>
      </c>
      <c r="E85">
        <v>0</v>
      </c>
      <c r="F85">
        <v>1378.66</v>
      </c>
    </row>
    <row r="86" spans="1:11" x14ac:dyDescent="0.3">
      <c r="A86" t="s">
        <v>15</v>
      </c>
      <c r="B86">
        <v>10</v>
      </c>
      <c r="C86">
        <v>7</v>
      </c>
      <c r="D86">
        <v>2702576.7207031301</v>
      </c>
      <c r="E86">
        <v>0</v>
      </c>
      <c r="F86">
        <v>1393.59</v>
      </c>
      <c r="G86" t="s">
        <v>8</v>
      </c>
      <c r="H86">
        <v>10</v>
      </c>
      <c r="I86">
        <f t="shared" ref="I86:J88" si="13">(D86/C86+D86)</f>
        <v>3088659.1093750061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15</v>
      </c>
      <c r="B87">
        <v>10</v>
      </c>
      <c r="C87">
        <v>9</v>
      </c>
      <c r="D87">
        <v>2182276.3769531301</v>
      </c>
      <c r="E87">
        <v>0</v>
      </c>
      <c r="F87">
        <v>1408.24</v>
      </c>
      <c r="G87" t="s">
        <v>8</v>
      </c>
      <c r="H87">
        <v>10</v>
      </c>
      <c r="I87">
        <f t="shared" si="13"/>
        <v>2424751.5299479226</v>
      </c>
      <c r="J87" s="6">
        <f t="shared" si="13"/>
        <v>0</v>
      </c>
      <c r="K87" s="2">
        <f>(J87*$N$3)/$N$2</f>
        <v>0</v>
      </c>
    </row>
    <row r="88" spans="1:11" x14ac:dyDescent="0.3">
      <c r="A88" t="s">
        <v>15</v>
      </c>
      <c r="B88">
        <v>10</v>
      </c>
      <c r="C88">
        <v>11</v>
      </c>
      <c r="D88">
        <v>1834694.6528320301</v>
      </c>
      <c r="E88">
        <v>0</v>
      </c>
      <c r="F88">
        <v>1422.96</v>
      </c>
      <c r="G88" t="s">
        <v>8</v>
      </c>
      <c r="H88">
        <v>10</v>
      </c>
      <c r="I88">
        <f t="shared" si="13"/>
        <v>2001485.0758167601</v>
      </c>
      <c r="J88" s="6">
        <f t="shared" si="13"/>
        <v>0</v>
      </c>
      <c r="K88" s="2">
        <f>(J88*$N$3)/$N$2</f>
        <v>0</v>
      </c>
    </row>
    <row r="89" spans="1:11" x14ac:dyDescent="0.3">
      <c r="A89" t="s">
        <v>15</v>
      </c>
      <c r="B89">
        <v>2001</v>
      </c>
      <c r="C89">
        <v>2</v>
      </c>
      <c r="D89">
        <v>0</v>
      </c>
      <c r="E89">
        <v>0</v>
      </c>
      <c r="F89">
        <v>1437.38</v>
      </c>
    </row>
    <row r="90" spans="1:11" x14ac:dyDescent="0.3">
      <c r="A90" t="s">
        <v>15</v>
      </c>
      <c r="B90">
        <v>2001</v>
      </c>
      <c r="C90">
        <v>3</v>
      </c>
      <c r="D90">
        <v>0</v>
      </c>
      <c r="E90">
        <v>0</v>
      </c>
      <c r="F90">
        <v>1451.54</v>
      </c>
    </row>
    <row r="91" spans="1:11" x14ac:dyDescent="0.3">
      <c r="A91" t="s">
        <v>15</v>
      </c>
      <c r="B91">
        <v>2001</v>
      </c>
      <c r="C91">
        <v>2</v>
      </c>
      <c r="D91">
        <v>0</v>
      </c>
      <c r="E91">
        <v>0</v>
      </c>
      <c r="F91">
        <v>1465.94</v>
      </c>
    </row>
    <row r="92" spans="1:11" x14ac:dyDescent="0.3">
      <c r="A92" t="s">
        <v>15</v>
      </c>
      <c r="B92">
        <v>2001</v>
      </c>
      <c r="C92">
        <v>3</v>
      </c>
      <c r="D92">
        <v>0</v>
      </c>
      <c r="E92">
        <v>0</v>
      </c>
      <c r="F92">
        <v>1480.14</v>
      </c>
    </row>
    <row r="93" spans="1:11" x14ac:dyDescent="0.3">
      <c r="A93" t="s">
        <v>15</v>
      </c>
      <c r="B93">
        <v>9</v>
      </c>
      <c r="C93">
        <v>1</v>
      </c>
      <c r="D93">
        <v>0</v>
      </c>
      <c r="E93">
        <v>0</v>
      </c>
      <c r="F93">
        <v>1495.08</v>
      </c>
      <c r="G93" t="s">
        <v>7</v>
      </c>
      <c r="H93">
        <v>20</v>
      </c>
      <c r="I93">
        <f t="shared" ref="I93:J95" si="14">D93/(C93+D93)</f>
        <v>0</v>
      </c>
      <c r="J93" s="6" t="e">
        <f t="shared" si="14"/>
        <v>#DIV/0!</v>
      </c>
      <c r="K93" s="2" t="e">
        <f>(J93*$N$3)/$N$2</f>
        <v>#DIV/0!</v>
      </c>
    </row>
    <row r="94" spans="1:11" x14ac:dyDescent="0.3">
      <c r="A94" t="s">
        <v>15</v>
      </c>
      <c r="B94">
        <v>9</v>
      </c>
      <c r="C94">
        <v>3</v>
      </c>
      <c r="D94">
        <v>0</v>
      </c>
      <c r="E94">
        <v>0</v>
      </c>
      <c r="F94">
        <v>1510.05</v>
      </c>
      <c r="G94" t="s">
        <v>7</v>
      </c>
      <c r="H94">
        <v>20</v>
      </c>
      <c r="I94">
        <f t="shared" si="14"/>
        <v>0</v>
      </c>
      <c r="J94" s="6" t="e">
        <f t="shared" si="14"/>
        <v>#DIV/0!</v>
      </c>
      <c r="K94" s="2" t="e">
        <f>(J94*$N$3)/$N$2</f>
        <v>#DIV/0!</v>
      </c>
    </row>
    <row r="95" spans="1:11" x14ac:dyDescent="0.3">
      <c r="A95" t="s">
        <v>15</v>
      </c>
      <c r="B95">
        <v>9</v>
      </c>
      <c r="C95">
        <v>5</v>
      </c>
      <c r="D95">
        <v>0</v>
      </c>
      <c r="E95">
        <v>638922.13769531297</v>
      </c>
      <c r="F95">
        <v>1524.87</v>
      </c>
      <c r="G95" t="s">
        <v>7</v>
      </c>
      <c r="H95">
        <v>20</v>
      </c>
      <c r="I95">
        <f t="shared" si="14"/>
        <v>0</v>
      </c>
      <c r="J95" s="6">
        <f t="shared" si="14"/>
        <v>1</v>
      </c>
      <c r="K95" s="2">
        <f>(J95*$N$3)/$N$2</f>
        <v>3.5433070866141727</v>
      </c>
    </row>
    <row r="96" spans="1:11" x14ac:dyDescent="0.3">
      <c r="A96" t="s">
        <v>15</v>
      </c>
      <c r="B96">
        <v>2001</v>
      </c>
      <c r="C96">
        <v>2</v>
      </c>
      <c r="D96">
        <v>57767.3330078125</v>
      </c>
      <c r="E96">
        <v>1621683.0034179699</v>
      </c>
      <c r="F96">
        <v>1539.29</v>
      </c>
    </row>
    <row r="97" spans="1:11" x14ac:dyDescent="0.3">
      <c r="A97" t="s">
        <v>15</v>
      </c>
      <c r="B97">
        <v>2001</v>
      </c>
      <c r="C97">
        <v>3</v>
      </c>
      <c r="D97">
        <v>10793.040527343799</v>
      </c>
      <c r="E97">
        <v>919552.91796875</v>
      </c>
      <c r="F97">
        <v>1553.49</v>
      </c>
    </row>
    <row r="98" spans="1:11" x14ac:dyDescent="0.3">
      <c r="A98" t="s">
        <v>15</v>
      </c>
      <c r="B98">
        <v>9</v>
      </c>
      <c r="C98">
        <v>7</v>
      </c>
      <c r="D98">
        <v>0</v>
      </c>
      <c r="E98">
        <v>0</v>
      </c>
      <c r="F98">
        <v>1568.36</v>
      </c>
      <c r="G98" t="s">
        <v>8</v>
      </c>
      <c r="H98">
        <v>20</v>
      </c>
      <c r="I98">
        <f t="shared" ref="I98:J100" si="15">D98/(C98+D98)</f>
        <v>0</v>
      </c>
      <c r="J98" s="6" t="e">
        <f t="shared" si="15"/>
        <v>#DIV/0!</v>
      </c>
      <c r="K98" s="2" t="e">
        <f>(J98*$N$3)/$N$2</f>
        <v>#DIV/0!</v>
      </c>
    </row>
    <row r="99" spans="1:11" x14ac:dyDescent="0.3">
      <c r="A99" t="s">
        <v>15</v>
      </c>
      <c r="B99">
        <v>9</v>
      </c>
      <c r="C99">
        <v>9</v>
      </c>
      <c r="D99">
        <v>0</v>
      </c>
      <c r="E99">
        <v>0</v>
      </c>
      <c r="F99">
        <v>1583.06</v>
      </c>
      <c r="G99" t="s">
        <v>8</v>
      </c>
      <c r="H99">
        <v>20</v>
      </c>
      <c r="I99">
        <f t="shared" si="15"/>
        <v>0</v>
      </c>
      <c r="J99" s="6" t="e">
        <f t="shared" si="15"/>
        <v>#DIV/0!</v>
      </c>
      <c r="K99" s="2" t="e">
        <f>(J99*$N$3)/$N$2</f>
        <v>#DIV/0!</v>
      </c>
    </row>
    <row r="100" spans="1:11" x14ac:dyDescent="0.3">
      <c r="A100" t="s">
        <v>15</v>
      </c>
      <c r="B100">
        <v>9</v>
      </c>
      <c r="C100">
        <v>11</v>
      </c>
      <c r="D100">
        <v>0</v>
      </c>
      <c r="E100">
        <v>0</v>
      </c>
      <c r="F100">
        <v>1597.86</v>
      </c>
      <c r="G100" t="s">
        <v>8</v>
      </c>
      <c r="H100">
        <v>20</v>
      </c>
      <c r="I100">
        <f t="shared" si="15"/>
        <v>0</v>
      </c>
      <c r="J100" s="6" t="e">
        <f t="shared" si="15"/>
        <v>#DIV/0!</v>
      </c>
      <c r="K100" s="2" t="e">
        <f>(J100*$N$3)/$N$2</f>
        <v>#DIV/0!</v>
      </c>
    </row>
    <row r="101" spans="1:11" x14ac:dyDescent="0.3">
      <c r="A101" t="s">
        <v>15</v>
      </c>
      <c r="B101">
        <v>2001</v>
      </c>
      <c r="C101">
        <v>2</v>
      </c>
      <c r="D101">
        <v>0</v>
      </c>
      <c r="E101">
        <v>0</v>
      </c>
      <c r="F101">
        <v>1612.17</v>
      </c>
    </row>
    <row r="102" spans="1:11" x14ac:dyDescent="0.3">
      <c r="A102" t="s">
        <v>15</v>
      </c>
      <c r="B102">
        <v>2001</v>
      </c>
      <c r="C102">
        <v>3</v>
      </c>
      <c r="D102">
        <v>2989402.22265625</v>
      </c>
      <c r="E102">
        <v>0</v>
      </c>
      <c r="F102">
        <v>1626.38</v>
      </c>
    </row>
    <row r="103" spans="1:11" x14ac:dyDescent="0.3">
      <c r="A103" t="s">
        <v>15</v>
      </c>
      <c r="B103">
        <v>2001</v>
      </c>
      <c r="C103">
        <v>2</v>
      </c>
      <c r="D103">
        <v>2047374.29541016</v>
      </c>
      <c r="E103">
        <v>0</v>
      </c>
      <c r="F103">
        <v>1640.84</v>
      </c>
    </row>
    <row r="104" spans="1:11" x14ac:dyDescent="0.3">
      <c r="A104" t="s">
        <v>15</v>
      </c>
      <c r="B104">
        <v>2001</v>
      </c>
      <c r="C104">
        <v>3</v>
      </c>
      <c r="D104">
        <v>1760063.4423828099</v>
      </c>
      <c r="E104">
        <v>0</v>
      </c>
      <c r="F104">
        <v>1655.04</v>
      </c>
    </row>
    <row r="105" spans="1:11" x14ac:dyDescent="0.3">
      <c r="A105" t="s">
        <v>15</v>
      </c>
      <c r="B105">
        <v>2001</v>
      </c>
      <c r="C105">
        <v>2</v>
      </c>
      <c r="D105">
        <v>0</v>
      </c>
      <c r="E105">
        <v>0</v>
      </c>
      <c r="F105">
        <v>1669.37</v>
      </c>
    </row>
    <row r="106" spans="1:11" x14ac:dyDescent="0.3">
      <c r="A106" t="s">
        <v>15</v>
      </c>
      <c r="B106">
        <v>2001</v>
      </c>
      <c r="C106">
        <v>3</v>
      </c>
      <c r="D106">
        <v>0</v>
      </c>
      <c r="E106">
        <v>0</v>
      </c>
      <c r="F106">
        <v>1683.68</v>
      </c>
    </row>
    <row r="107" spans="1:11" x14ac:dyDescent="0.3">
      <c r="A107" t="s">
        <v>15</v>
      </c>
      <c r="B107">
        <v>8</v>
      </c>
      <c r="C107">
        <v>1</v>
      </c>
      <c r="D107">
        <v>0</v>
      </c>
      <c r="E107">
        <v>0</v>
      </c>
      <c r="F107">
        <v>1698.5</v>
      </c>
      <c r="G107" t="s">
        <v>7</v>
      </c>
      <c r="H107">
        <v>40</v>
      </c>
      <c r="I107">
        <f t="shared" ref="I107:J109" si="16">D107/(C107+D107)</f>
        <v>0</v>
      </c>
      <c r="J107" s="6" t="e">
        <f t="shared" si="16"/>
        <v>#DIV/0!</v>
      </c>
      <c r="K107" s="2" t="e">
        <f>(J107*$N$3)/$N$2</f>
        <v>#DIV/0!</v>
      </c>
    </row>
    <row r="108" spans="1:11" x14ac:dyDescent="0.3">
      <c r="A108" t="s">
        <v>15</v>
      </c>
      <c r="B108">
        <v>8</v>
      </c>
      <c r="C108">
        <v>3</v>
      </c>
      <c r="D108">
        <v>0</v>
      </c>
      <c r="E108">
        <v>0</v>
      </c>
      <c r="F108">
        <v>1713.46</v>
      </c>
      <c r="G108" t="s">
        <v>7</v>
      </c>
      <c r="H108">
        <v>40</v>
      </c>
      <c r="I108">
        <f t="shared" si="16"/>
        <v>0</v>
      </c>
      <c r="J108" s="6" t="e">
        <f t="shared" si="16"/>
        <v>#DIV/0!</v>
      </c>
      <c r="K108" s="2" t="e">
        <f>(J108*$N$3)/$N$2</f>
        <v>#DIV/0!</v>
      </c>
    </row>
    <row r="109" spans="1:11" x14ac:dyDescent="0.3">
      <c r="A109" t="s">
        <v>15</v>
      </c>
      <c r="B109">
        <v>8</v>
      </c>
      <c r="C109">
        <v>5</v>
      </c>
      <c r="D109">
        <v>0</v>
      </c>
      <c r="E109">
        <v>577143.86035156297</v>
      </c>
      <c r="F109">
        <v>1728.3</v>
      </c>
      <c r="G109" t="s">
        <v>7</v>
      </c>
      <c r="H109">
        <v>40</v>
      </c>
      <c r="I109">
        <f t="shared" si="16"/>
        <v>0</v>
      </c>
      <c r="J109" s="6">
        <f t="shared" si="16"/>
        <v>1</v>
      </c>
      <c r="K109" s="2">
        <f>(J109*$N$3)/$N$2</f>
        <v>3.5433070866141727</v>
      </c>
    </row>
    <row r="110" spans="1:11" x14ac:dyDescent="0.3">
      <c r="A110" t="s">
        <v>15</v>
      </c>
      <c r="B110">
        <v>2001</v>
      </c>
      <c r="C110">
        <v>2</v>
      </c>
      <c r="D110">
        <v>23754.2822265625</v>
      </c>
      <c r="E110">
        <v>1219302.9199218799</v>
      </c>
      <c r="F110">
        <v>1742.82</v>
      </c>
    </row>
    <row r="111" spans="1:11" x14ac:dyDescent="0.3">
      <c r="A111" t="s">
        <v>15</v>
      </c>
      <c r="B111">
        <v>2001</v>
      </c>
      <c r="C111">
        <v>3</v>
      </c>
      <c r="D111">
        <v>37051.450683593801</v>
      </c>
      <c r="E111">
        <v>1520261.046875</v>
      </c>
      <c r="F111">
        <v>1757</v>
      </c>
    </row>
    <row r="112" spans="1:11" x14ac:dyDescent="0.3">
      <c r="A112" t="s">
        <v>15</v>
      </c>
      <c r="B112">
        <v>2001</v>
      </c>
      <c r="C112">
        <v>2</v>
      </c>
      <c r="D112">
        <v>0</v>
      </c>
      <c r="E112">
        <v>0</v>
      </c>
      <c r="F112">
        <v>1771.36</v>
      </c>
    </row>
    <row r="113" spans="1:11" x14ac:dyDescent="0.3">
      <c r="A113" t="s">
        <v>15</v>
      </c>
      <c r="B113">
        <v>2001</v>
      </c>
      <c r="C113">
        <v>3</v>
      </c>
      <c r="D113">
        <v>0</v>
      </c>
      <c r="E113">
        <v>0</v>
      </c>
      <c r="F113">
        <v>1785.54</v>
      </c>
    </row>
    <row r="114" spans="1:11" x14ac:dyDescent="0.3">
      <c r="A114" t="s">
        <v>15</v>
      </c>
      <c r="B114">
        <v>8</v>
      </c>
      <c r="C114">
        <v>7</v>
      </c>
      <c r="D114">
        <v>0</v>
      </c>
      <c r="E114">
        <v>0</v>
      </c>
      <c r="F114">
        <v>1800.47</v>
      </c>
      <c r="G114" t="s">
        <v>8</v>
      </c>
      <c r="H114">
        <v>40</v>
      </c>
      <c r="I114">
        <f t="shared" ref="I114:J116" si="17">D114/(C114+D114)</f>
        <v>0</v>
      </c>
      <c r="J114" s="6" t="e">
        <f t="shared" si="17"/>
        <v>#DIV/0!</v>
      </c>
      <c r="K114" s="2" t="e">
        <f>(J114*$N$3)/$N$2</f>
        <v>#DIV/0!</v>
      </c>
    </row>
    <row r="115" spans="1:11" x14ac:dyDescent="0.3">
      <c r="A115" t="s">
        <v>15</v>
      </c>
      <c r="B115">
        <v>8</v>
      </c>
      <c r="C115">
        <v>9</v>
      </c>
      <c r="D115">
        <v>0</v>
      </c>
      <c r="E115">
        <v>0</v>
      </c>
      <c r="F115">
        <v>1815.23</v>
      </c>
      <c r="G115" t="s">
        <v>8</v>
      </c>
      <c r="H115">
        <v>40</v>
      </c>
      <c r="I115">
        <f t="shared" si="17"/>
        <v>0</v>
      </c>
      <c r="J115" s="6" t="e">
        <f t="shared" si="17"/>
        <v>#DIV/0!</v>
      </c>
      <c r="K115" s="2" t="e">
        <f>(J115*$N$3)/$N$2</f>
        <v>#DIV/0!</v>
      </c>
    </row>
    <row r="116" spans="1:11" x14ac:dyDescent="0.3">
      <c r="A116" t="s">
        <v>15</v>
      </c>
      <c r="B116">
        <v>8</v>
      </c>
      <c r="C116">
        <v>11</v>
      </c>
      <c r="D116">
        <v>2372712.4345703102</v>
      </c>
      <c r="E116">
        <v>0</v>
      </c>
      <c r="F116">
        <v>1829.84</v>
      </c>
      <c r="G116" t="s">
        <v>8</v>
      </c>
      <c r="H116">
        <v>40</v>
      </c>
      <c r="I116">
        <f t="shared" si="17"/>
        <v>0.99999536397717503</v>
      </c>
      <c r="J116" s="6">
        <f t="shared" si="17"/>
        <v>0</v>
      </c>
      <c r="K116" s="2">
        <f>(J116*$N$3)/$N$2</f>
        <v>0</v>
      </c>
    </row>
    <row r="117" spans="1:11" x14ac:dyDescent="0.3">
      <c r="A117" t="s">
        <v>15</v>
      </c>
      <c r="B117">
        <v>2001</v>
      </c>
      <c r="C117">
        <v>2</v>
      </c>
      <c r="D117">
        <v>1438905.0712890599</v>
      </c>
      <c r="E117">
        <v>0</v>
      </c>
      <c r="F117">
        <v>1844.2</v>
      </c>
    </row>
    <row r="118" spans="1:11" x14ac:dyDescent="0.3">
      <c r="A118" t="s">
        <v>15</v>
      </c>
      <c r="B118">
        <v>2001</v>
      </c>
      <c r="C118">
        <v>3</v>
      </c>
      <c r="D118">
        <v>1285066.8291015599</v>
      </c>
      <c r="E118">
        <v>0</v>
      </c>
      <c r="F118">
        <v>1858.41</v>
      </c>
    </row>
    <row r="119" spans="1:11" x14ac:dyDescent="0.3">
      <c r="A119" t="s">
        <v>15</v>
      </c>
      <c r="B119">
        <v>2001</v>
      </c>
      <c r="C119">
        <v>2</v>
      </c>
      <c r="D119">
        <v>0</v>
      </c>
      <c r="E119">
        <v>0</v>
      </c>
      <c r="F119">
        <v>1872.9</v>
      </c>
    </row>
    <row r="120" spans="1:11" x14ac:dyDescent="0.3">
      <c r="A120" t="s">
        <v>15</v>
      </c>
      <c r="B120">
        <v>2001</v>
      </c>
      <c r="C120">
        <v>3</v>
      </c>
      <c r="D120">
        <v>0</v>
      </c>
      <c r="E120">
        <v>0</v>
      </c>
      <c r="F120">
        <v>1887.05</v>
      </c>
    </row>
    <row r="121" spans="1:11" x14ac:dyDescent="0.3">
      <c r="A121" t="s">
        <v>15</v>
      </c>
      <c r="B121">
        <v>7</v>
      </c>
      <c r="C121">
        <v>1</v>
      </c>
      <c r="D121">
        <v>0</v>
      </c>
      <c r="E121">
        <v>0</v>
      </c>
      <c r="F121">
        <v>1901.99</v>
      </c>
      <c r="G121" t="s">
        <v>7</v>
      </c>
      <c r="H121">
        <v>60</v>
      </c>
      <c r="I121">
        <f t="shared" ref="I121:J123" si="18">D121/(C121+D121)</f>
        <v>0</v>
      </c>
      <c r="J121" s="6" t="e">
        <f t="shared" si="18"/>
        <v>#DIV/0!</v>
      </c>
      <c r="K121" s="2" t="e">
        <f>(J121*$N$3)/$N$2</f>
        <v>#DIV/0!</v>
      </c>
    </row>
    <row r="122" spans="1:11" x14ac:dyDescent="0.3">
      <c r="A122" t="s">
        <v>15</v>
      </c>
      <c r="B122">
        <v>7</v>
      </c>
      <c r="C122">
        <v>3</v>
      </c>
      <c r="D122">
        <v>0</v>
      </c>
      <c r="E122">
        <v>0</v>
      </c>
      <c r="F122">
        <v>1916.82</v>
      </c>
      <c r="G122" t="s">
        <v>7</v>
      </c>
      <c r="H122">
        <v>60</v>
      </c>
      <c r="I122">
        <f t="shared" si="18"/>
        <v>0</v>
      </c>
      <c r="J122" s="6" t="e">
        <f t="shared" si="18"/>
        <v>#DIV/0!</v>
      </c>
      <c r="K122" s="2" t="e">
        <f>(J122*$N$3)/$N$2</f>
        <v>#DIV/0!</v>
      </c>
    </row>
    <row r="123" spans="1:11" x14ac:dyDescent="0.3">
      <c r="A123" t="s">
        <v>15</v>
      </c>
      <c r="B123">
        <v>7</v>
      </c>
      <c r="C123">
        <v>5</v>
      </c>
      <c r="D123">
        <v>0</v>
      </c>
      <c r="E123">
        <v>1294174.3002929699</v>
      </c>
      <c r="F123">
        <v>1931.79</v>
      </c>
      <c r="G123" t="s">
        <v>7</v>
      </c>
      <c r="H123">
        <v>60</v>
      </c>
      <c r="I123">
        <f t="shared" si="18"/>
        <v>0</v>
      </c>
      <c r="J123" s="6">
        <f t="shared" si="18"/>
        <v>1</v>
      </c>
      <c r="K123" s="2">
        <f>(J123*$N$3)/$N$2</f>
        <v>3.5433070866141727</v>
      </c>
    </row>
    <row r="124" spans="1:11" x14ac:dyDescent="0.3">
      <c r="A124" t="s">
        <v>15</v>
      </c>
      <c r="B124">
        <v>2001</v>
      </c>
      <c r="C124">
        <v>2</v>
      </c>
      <c r="D124">
        <v>82432.5009765625</v>
      </c>
      <c r="E124">
        <v>3830462.1298828102</v>
      </c>
      <c r="F124">
        <v>1946.21</v>
      </c>
    </row>
    <row r="125" spans="1:11" x14ac:dyDescent="0.3">
      <c r="A125" t="s">
        <v>15</v>
      </c>
      <c r="B125">
        <v>2001</v>
      </c>
      <c r="C125">
        <v>3</v>
      </c>
      <c r="D125">
        <v>0</v>
      </c>
      <c r="E125">
        <v>0</v>
      </c>
      <c r="F125">
        <v>1960.4</v>
      </c>
    </row>
    <row r="126" spans="1:11" x14ac:dyDescent="0.3">
      <c r="A126" t="s">
        <v>15</v>
      </c>
      <c r="B126">
        <v>2001</v>
      </c>
      <c r="C126">
        <v>2</v>
      </c>
      <c r="D126">
        <v>0</v>
      </c>
      <c r="E126">
        <v>0</v>
      </c>
      <c r="F126">
        <v>1974.76</v>
      </c>
    </row>
    <row r="127" spans="1:11" x14ac:dyDescent="0.3">
      <c r="A127" t="s">
        <v>15</v>
      </c>
      <c r="B127">
        <v>2001</v>
      </c>
      <c r="C127">
        <v>3</v>
      </c>
      <c r="D127">
        <v>0</v>
      </c>
      <c r="E127">
        <v>0</v>
      </c>
      <c r="F127">
        <v>1988.56</v>
      </c>
    </row>
    <row r="128" spans="1:11" x14ac:dyDescent="0.3">
      <c r="A128" t="s">
        <v>15</v>
      </c>
      <c r="B128">
        <v>7</v>
      </c>
      <c r="C128">
        <v>7</v>
      </c>
      <c r="D128">
        <v>0</v>
      </c>
      <c r="E128">
        <v>0</v>
      </c>
      <c r="F128">
        <v>2003.43</v>
      </c>
      <c r="G128" t="s">
        <v>8</v>
      </c>
      <c r="H128">
        <v>60</v>
      </c>
      <c r="I128">
        <f t="shared" ref="I128:J130" si="19">D128/(C128+D128)</f>
        <v>0</v>
      </c>
      <c r="J128" s="6" t="e">
        <f t="shared" si="19"/>
        <v>#DIV/0!</v>
      </c>
      <c r="K128" s="2" t="e">
        <f>(J128*$N$3)/$N$2</f>
        <v>#DIV/0!</v>
      </c>
    </row>
    <row r="129" spans="1:11" x14ac:dyDescent="0.3">
      <c r="A129" t="s">
        <v>15</v>
      </c>
      <c r="B129">
        <v>7</v>
      </c>
      <c r="C129">
        <v>9</v>
      </c>
      <c r="D129">
        <v>0</v>
      </c>
      <c r="E129">
        <v>0</v>
      </c>
      <c r="F129">
        <v>2018.22</v>
      </c>
      <c r="G129" t="s">
        <v>8</v>
      </c>
      <c r="H129">
        <v>60</v>
      </c>
      <c r="I129">
        <f t="shared" si="19"/>
        <v>0</v>
      </c>
      <c r="J129" s="6" t="e">
        <f t="shared" si="19"/>
        <v>#DIV/0!</v>
      </c>
      <c r="K129" s="2" t="e">
        <f>(J129*$N$3)/$N$2</f>
        <v>#DIV/0!</v>
      </c>
    </row>
    <row r="130" spans="1:11" x14ac:dyDescent="0.3">
      <c r="A130" t="s">
        <v>15</v>
      </c>
      <c r="B130">
        <v>7</v>
      </c>
      <c r="C130">
        <v>11</v>
      </c>
      <c r="D130">
        <v>1621057.4667968799</v>
      </c>
      <c r="E130">
        <v>47944.947265625</v>
      </c>
      <c r="F130">
        <v>2032.9</v>
      </c>
      <c r="G130" t="s">
        <v>8</v>
      </c>
      <c r="H130">
        <v>60</v>
      </c>
      <c r="I130">
        <f t="shared" si="19"/>
        <v>0.99999321435199973</v>
      </c>
      <c r="J130" s="6">
        <f t="shared" si="19"/>
        <v>2.8726709357431428E-2</v>
      </c>
      <c r="K130" s="2">
        <f>(J130*$N$3)/$N$2</f>
        <v>0.10178755284129246</v>
      </c>
    </row>
    <row r="131" spans="1:11" x14ac:dyDescent="0.3">
      <c r="A131" t="s">
        <v>15</v>
      </c>
      <c r="B131">
        <v>2001</v>
      </c>
      <c r="C131">
        <v>2</v>
      </c>
      <c r="D131">
        <v>773675.884765625</v>
      </c>
      <c r="E131">
        <v>0</v>
      </c>
      <c r="F131">
        <v>2047.33</v>
      </c>
    </row>
    <row r="132" spans="1:11" x14ac:dyDescent="0.3">
      <c r="A132" t="s">
        <v>15</v>
      </c>
      <c r="B132">
        <v>2001</v>
      </c>
      <c r="C132">
        <v>3</v>
      </c>
      <c r="D132">
        <v>785282.58154296898</v>
      </c>
      <c r="E132">
        <v>0</v>
      </c>
      <c r="F132">
        <v>2061.52</v>
      </c>
    </row>
    <row r="133" spans="1:11" x14ac:dyDescent="0.3">
      <c r="A133" t="s">
        <v>15</v>
      </c>
      <c r="B133">
        <v>2001</v>
      </c>
      <c r="C133">
        <v>2</v>
      </c>
      <c r="D133">
        <v>0</v>
      </c>
      <c r="E133">
        <v>0</v>
      </c>
      <c r="F133">
        <v>2075.88</v>
      </c>
    </row>
    <row r="134" spans="1:11" x14ac:dyDescent="0.3">
      <c r="A134" t="s">
        <v>15</v>
      </c>
      <c r="B134">
        <v>2001</v>
      </c>
      <c r="C134">
        <v>3</v>
      </c>
      <c r="D134">
        <v>0</v>
      </c>
      <c r="E134">
        <v>0</v>
      </c>
      <c r="F134">
        <v>2090.0500000000002</v>
      </c>
    </row>
    <row r="135" spans="1:11" x14ac:dyDescent="0.3">
      <c r="A135" t="s">
        <v>15</v>
      </c>
      <c r="B135">
        <v>6</v>
      </c>
      <c r="C135">
        <v>1</v>
      </c>
      <c r="D135">
        <v>0</v>
      </c>
      <c r="E135">
        <v>0</v>
      </c>
      <c r="F135">
        <v>2105.0100000000002</v>
      </c>
      <c r="G135" t="s">
        <v>7</v>
      </c>
      <c r="H135">
        <v>300</v>
      </c>
      <c r="I135">
        <f t="shared" ref="I135:J137" si="20">D135/(C135+D135)</f>
        <v>0</v>
      </c>
      <c r="J135" s="6" t="e">
        <f t="shared" si="20"/>
        <v>#DIV/0!</v>
      </c>
      <c r="K135" s="2" t="e">
        <f>(J135*$N$3)/$N$2</f>
        <v>#DIV/0!</v>
      </c>
    </row>
    <row r="136" spans="1:11" x14ac:dyDescent="0.3">
      <c r="A136" t="s">
        <v>15</v>
      </c>
      <c r="B136">
        <v>6</v>
      </c>
      <c r="C136">
        <v>3</v>
      </c>
      <c r="D136">
        <v>0</v>
      </c>
      <c r="E136">
        <v>0</v>
      </c>
      <c r="F136">
        <v>2119.83</v>
      </c>
      <c r="G136" t="s">
        <v>7</v>
      </c>
      <c r="H136">
        <v>300</v>
      </c>
      <c r="I136">
        <f t="shared" si="20"/>
        <v>0</v>
      </c>
      <c r="J136" s="6" t="e">
        <f t="shared" si="20"/>
        <v>#DIV/0!</v>
      </c>
      <c r="K136" s="2" t="e">
        <f>(J136*$N$3)/$N$2</f>
        <v>#DIV/0!</v>
      </c>
    </row>
    <row r="137" spans="1:11" x14ac:dyDescent="0.3">
      <c r="A137" t="s">
        <v>15</v>
      </c>
      <c r="B137">
        <v>6</v>
      </c>
      <c r="C137">
        <v>5</v>
      </c>
      <c r="D137">
        <v>0</v>
      </c>
      <c r="E137">
        <v>0</v>
      </c>
      <c r="F137">
        <v>2134.79</v>
      </c>
      <c r="G137" t="s">
        <v>7</v>
      </c>
      <c r="H137">
        <v>300</v>
      </c>
      <c r="I137">
        <f t="shared" si="20"/>
        <v>0</v>
      </c>
      <c r="J137" s="6" t="e">
        <f t="shared" si="20"/>
        <v>#DIV/0!</v>
      </c>
      <c r="K137" s="2" t="e">
        <f>(J137*$N$3)/$N$2</f>
        <v>#DIV/0!</v>
      </c>
    </row>
    <row r="138" spans="1:11" x14ac:dyDescent="0.3">
      <c r="A138" t="s">
        <v>15</v>
      </c>
      <c r="B138">
        <v>2001</v>
      </c>
      <c r="C138">
        <v>2</v>
      </c>
      <c r="D138">
        <v>0</v>
      </c>
      <c r="E138">
        <v>0</v>
      </c>
      <c r="F138">
        <v>2149.1999999999998</v>
      </c>
    </row>
    <row r="139" spans="1:11" x14ac:dyDescent="0.3">
      <c r="A139" t="s">
        <v>15</v>
      </c>
      <c r="B139">
        <v>2001</v>
      </c>
      <c r="C139">
        <v>3</v>
      </c>
      <c r="D139">
        <v>0</v>
      </c>
      <c r="E139">
        <v>0</v>
      </c>
      <c r="F139">
        <v>2163.37</v>
      </c>
    </row>
    <row r="140" spans="1:11" x14ac:dyDescent="0.3">
      <c r="A140" t="s">
        <v>15</v>
      </c>
      <c r="B140">
        <v>2001</v>
      </c>
      <c r="C140">
        <v>2</v>
      </c>
      <c r="D140">
        <v>0</v>
      </c>
      <c r="E140">
        <v>0</v>
      </c>
      <c r="F140">
        <v>2177.83</v>
      </c>
    </row>
    <row r="141" spans="1:11" x14ac:dyDescent="0.3">
      <c r="A141" t="s">
        <v>15</v>
      </c>
      <c r="B141">
        <v>2001</v>
      </c>
      <c r="C141">
        <v>3</v>
      </c>
      <c r="D141">
        <v>0</v>
      </c>
      <c r="E141">
        <v>0</v>
      </c>
      <c r="F141">
        <v>2192.06</v>
      </c>
    </row>
    <row r="142" spans="1:11" x14ac:dyDescent="0.3">
      <c r="A142" t="s">
        <v>15</v>
      </c>
      <c r="B142">
        <v>6</v>
      </c>
      <c r="C142">
        <v>7</v>
      </c>
      <c r="D142">
        <v>0</v>
      </c>
      <c r="E142">
        <v>0</v>
      </c>
      <c r="F142">
        <v>2206.94</v>
      </c>
      <c r="G142" t="s">
        <v>8</v>
      </c>
      <c r="H142">
        <v>300</v>
      </c>
      <c r="I142">
        <f t="shared" ref="I142:J144" si="21">D142/(C142+D142)</f>
        <v>0</v>
      </c>
      <c r="J142" s="6" t="e">
        <f t="shared" si="21"/>
        <v>#DIV/0!</v>
      </c>
      <c r="K142" s="2" t="e">
        <f>(J142*$N$3)/$N$2</f>
        <v>#DIV/0!</v>
      </c>
    </row>
    <row r="143" spans="1:11" x14ac:dyDescent="0.3">
      <c r="A143" t="s">
        <v>15</v>
      </c>
      <c r="B143">
        <v>6</v>
      </c>
      <c r="C143">
        <v>9</v>
      </c>
      <c r="D143">
        <v>0</v>
      </c>
      <c r="E143">
        <v>0</v>
      </c>
      <c r="F143">
        <v>2221.66</v>
      </c>
      <c r="G143" t="s">
        <v>8</v>
      </c>
      <c r="H143">
        <v>300</v>
      </c>
      <c r="I143">
        <f t="shared" si="21"/>
        <v>0</v>
      </c>
      <c r="J143" s="6" t="e">
        <f t="shared" si="21"/>
        <v>#DIV/0!</v>
      </c>
      <c r="K143" s="2" t="e">
        <f>(J143*$N$3)/$N$2</f>
        <v>#DIV/0!</v>
      </c>
    </row>
    <row r="144" spans="1:11" x14ac:dyDescent="0.3">
      <c r="A144" t="s">
        <v>15</v>
      </c>
      <c r="B144">
        <v>6</v>
      </c>
      <c r="C144">
        <v>11</v>
      </c>
      <c r="D144">
        <v>0</v>
      </c>
      <c r="E144">
        <v>0</v>
      </c>
      <c r="F144">
        <v>2236.37</v>
      </c>
      <c r="G144" t="s">
        <v>8</v>
      </c>
      <c r="H144">
        <v>300</v>
      </c>
      <c r="I144">
        <f t="shared" si="21"/>
        <v>0</v>
      </c>
      <c r="J144" s="6" t="e">
        <f t="shared" si="21"/>
        <v>#DIV/0!</v>
      </c>
      <c r="K144" s="2" t="e">
        <f>(J144*$N$3)/$N$2</f>
        <v>#DIV/0!</v>
      </c>
    </row>
    <row r="145" spans="1:6" x14ac:dyDescent="0.3">
      <c r="A145" t="s">
        <v>15</v>
      </c>
      <c r="B145">
        <v>2001</v>
      </c>
      <c r="C145">
        <v>2</v>
      </c>
      <c r="D145">
        <v>0</v>
      </c>
      <c r="E145">
        <v>0</v>
      </c>
      <c r="F145">
        <v>2250.6999999999998</v>
      </c>
    </row>
    <row r="146" spans="1:6" x14ac:dyDescent="0.3">
      <c r="A146" t="s">
        <v>15</v>
      </c>
      <c r="B146">
        <v>2001</v>
      </c>
      <c r="C146">
        <v>3</v>
      </c>
      <c r="D146">
        <v>0</v>
      </c>
      <c r="E146">
        <v>0</v>
      </c>
      <c r="F146">
        <v>2264.86</v>
      </c>
    </row>
    <row r="147" spans="1:6" x14ac:dyDescent="0.3">
      <c r="A147" t="s">
        <v>15</v>
      </c>
      <c r="B147">
        <v>2001</v>
      </c>
      <c r="C147">
        <v>2</v>
      </c>
      <c r="D147">
        <v>0</v>
      </c>
      <c r="E147">
        <v>0</v>
      </c>
      <c r="F147">
        <v>2279.3200000000002</v>
      </c>
    </row>
    <row r="148" spans="1:6" x14ac:dyDescent="0.3">
      <c r="A148" t="s">
        <v>15</v>
      </c>
      <c r="B148">
        <v>2001</v>
      </c>
      <c r="C148">
        <v>3</v>
      </c>
      <c r="D148">
        <v>0</v>
      </c>
      <c r="E148">
        <v>0</v>
      </c>
      <c r="F148">
        <v>2293.4899999999998</v>
      </c>
    </row>
    <row r="149" spans="1:6" x14ac:dyDescent="0.3">
      <c r="A149" t="s">
        <v>15</v>
      </c>
      <c r="B149">
        <v>2001</v>
      </c>
      <c r="C149">
        <v>2</v>
      </c>
      <c r="D149">
        <v>0</v>
      </c>
      <c r="E149">
        <v>0</v>
      </c>
      <c r="F149">
        <v>2307.9499999999998</v>
      </c>
    </row>
    <row r="150" spans="1:6" x14ac:dyDescent="0.3">
      <c r="A150" t="s">
        <v>15</v>
      </c>
      <c r="B150">
        <v>2001</v>
      </c>
      <c r="C150">
        <v>3</v>
      </c>
      <c r="D150">
        <v>0</v>
      </c>
      <c r="E150">
        <v>0</v>
      </c>
      <c r="F150">
        <v>2322.15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EA6E-2231-4F9E-B323-0338AF70244C}">
  <dimension ref="A1:S148"/>
  <sheetViews>
    <sheetView zoomScale="86" workbookViewId="0">
      <selection activeCell="R9" sqref="R9:S19"/>
    </sheetView>
  </sheetViews>
  <sheetFormatPr defaultRowHeight="14.4" x14ac:dyDescent="0.3"/>
  <cols>
    <col min="9" max="9" width="11" bestFit="1" customWidth="1"/>
    <col min="10" max="10" width="11" style="6" bestFit="1" customWidth="1"/>
    <col min="14" max="15" width="9.33203125" bestFit="1" customWidth="1"/>
    <col min="19" max="19" width="9.33203125" bestFit="1" customWidth="1"/>
  </cols>
  <sheetData>
    <row r="1" spans="1:19" x14ac:dyDescent="0.3">
      <c r="A1" t="s">
        <v>11</v>
      </c>
    </row>
    <row r="2" spans="1:19" x14ac:dyDescent="0.3">
      <c r="A2" t="s">
        <v>1</v>
      </c>
      <c r="B2" t="s">
        <v>2</v>
      </c>
      <c r="C2" t="s">
        <v>3</v>
      </c>
      <c r="D2">
        <v>1442.73</v>
      </c>
      <c r="E2">
        <v>1474.73</v>
      </c>
      <c r="F2" t="s">
        <v>4</v>
      </c>
      <c r="G2" t="s">
        <v>6</v>
      </c>
      <c r="H2" t="s">
        <v>10</v>
      </c>
      <c r="I2" t="s">
        <v>19</v>
      </c>
      <c r="J2" s="6" t="s">
        <v>23</v>
      </c>
      <c r="K2" t="s">
        <v>16</v>
      </c>
      <c r="M2" t="s">
        <v>17</v>
      </c>
      <c r="N2" s="2">
        <v>2.5400000000000002E-3</v>
      </c>
    </row>
    <row r="3" spans="1:19" x14ac:dyDescent="0.3">
      <c r="A3" t="s">
        <v>15</v>
      </c>
      <c r="B3">
        <v>2001</v>
      </c>
      <c r="C3">
        <v>2</v>
      </c>
      <c r="D3">
        <v>0</v>
      </c>
      <c r="E3">
        <v>0</v>
      </c>
      <c r="F3">
        <v>8.73</v>
      </c>
      <c r="M3" t="s">
        <v>18</v>
      </c>
      <c r="N3" s="2">
        <v>8.9999999999999993E-3</v>
      </c>
    </row>
    <row r="4" spans="1:19" x14ac:dyDescent="0.3">
      <c r="A4" t="s">
        <v>15</v>
      </c>
      <c r="B4">
        <v>2001</v>
      </c>
      <c r="C4">
        <v>3</v>
      </c>
      <c r="D4">
        <v>0</v>
      </c>
      <c r="E4">
        <v>0</v>
      </c>
      <c r="F4">
        <v>22.94</v>
      </c>
    </row>
    <row r="5" spans="1:19" x14ac:dyDescent="0.3">
      <c r="A5" t="s">
        <v>15</v>
      </c>
      <c r="B5">
        <v>2001</v>
      </c>
      <c r="C5">
        <v>2</v>
      </c>
      <c r="D5">
        <v>0</v>
      </c>
      <c r="E5">
        <v>0</v>
      </c>
      <c r="F5">
        <v>37.369999999999997</v>
      </c>
    </row>
    <row r="6" spans="1:19" x14ac:dyDescent="0.3">
      <c r="A6" t="s">
        <v>15</v>
      </c>
      <c r="B6">
        <v>2001</v>
      </c>
      <c r="C6">
        <v>3</v>
      </c>
      <c r="D6">
        <v>0</v>
      </c>
      <c r="E6">
        <v>0</v>
      </c>
      <c r="F6">
        <v>51.52</v>
      </c>
    </row>
    <row r="7" spans="1:19" ht="15.6" x14ac:dyDescent="0.3">
      <c r="A7" t="s">
        <v>15</v>
      </c>
      <c r="B7">
        <v>16</v>
      </c>
      <c r="C7">
        <v>14</v>
      </c>
      <c r="D7">
        <v>1555678.6240234401</v>
      </c>
      <c r="E7">
        <v>0</v>
      </c>
      <c r="F7">
        <v>66.510000000000005</v>
      </c>
      <c r="G7" t="s">
        <v>7</v>
      </c>
      <c r="H7">
        <v>0</v>
      </c>
      <c r="I7">
        <f t="shared" ref="I7:J9" si="0">D7/(C7+D7)</f>
        <v>0.9999910007929691</v>
      </c>
      <c r="J7" s="6">
        <f t="shared" si="0"/>
        <v>0</v>
      </c>
      <c r="K7" s="2">
        <f>(J7*$N$3)/$N$2</f>
        <v>0</v>
      </c>
      <c r="M7" s="3"/>
      <c r="N7" s="4" t="s">
        <v>20</v>
      </c>
      <c r="O7" s="3"/>
      <c r="Q7" s="3"/>
      <c r="R7" s="4" t="s">
        <v>20</v>
      </c>
      <c r="S7" s="3"/>
    </row>
    <row r="8" spans="1:19" ht="15.6" x14ac:dyDescent="0.3">
      <c r="A8" t="s">
        <v>15</v>
      </c>
      <c r="B8">
        <v>16</v>
      </c>
      <c r="C8">
        <v>16</v>
      </c>
      <c r="D8">
        <v>735597.43847656297</v>
      </c>
      <c r="E8">
        <v>0</v>
      </c>
      <c r="F8">
        <v>81.349999999999994</v>
      </c>
      <c r="G8" t="s">
        <v>7</v>
      </c>
      <c r="H8">
        <v>0</v>
      </c>
      <c r="I8">
        <f t="shared" si="0"/>
        <v>0.99997824944575087</v>
      </c>
      <c r="J8" s="6">
        <f t="shared" si="0"/>
        <v>0</v>
      </c>
      <c r="K8" s="2">
        <f>(J8*$N$3)/$N$2</f>
        <v>0</v>
      </c>
      <c r="M8" s="4" t="s">
        <v>21</v>
      </c>
      <c r="N8" s="4" t="s">
        <v>16</v>
      </c>
      <c r="O8" s="3" t="s">
        <v>22</v>
      </c>
      <c r="Q8" s="4" t="s">
        <v>21</v>
      </c>
      <c r="R8" s="4" t="s">
        <v>23</v>
      </c>
      <c r="S8" s="3" t="s">
        <v>22</v>
      </c>
    </row>
    <row r="9" spans="1:19" ht="15.6" x14ac:dyDescent="0.3">
      <c r="A9" t="s">
        <v>15</v>
      </c>
      <c r="B9">
        <v>16</v>
      </c>
      <c r="C9">
        <v>18</v>
      </c>
      <c r="D9">
        <v>601207.88623046898</v>
      </c>
      <c r="E9">
        <v>0</v>
      </c>
      <c r="F9">
        <v>96.22</v>
      </c>
      <c r="G9" t="s">
        <v>7</v>
      </c>
      <c r="H9">
        <v>0</v>
      </c>
      <c r="I9">
        <f t="shared" si="0"/>
        <v>0.99997006116933373</v>
      </c>
      <c r="J9" s="6">
        <f t="shared" si="0"/>
        <v>0</v>
      </c>
      <c r="K9" s="2">
        <f>(J9*$N$3)/$N$2</f>
        <v>0</v>
      </c>
      <c r="M9" s="3">
        <v>0</v>
      </c>
      <c r="N9" s="5">
        <f>AVERAGE(K7:K9)</f>
        <v>0</v>
      </c>
      <c r="O9" s="5">
        <f>STDEV(K7:K9)</f>
        <v>0</v>
      </c>
      <c r="Q9" s="3">
        <v>0</v>
      </c>
      <c r="R9" s="7">
        <f>AVERAGE(J7:J9)</f>
        <v>0</v>
      </c>
      <c r="S9" s="5">
        <f>STDEV(J7:J9)</f>
        <v>0</v>
      </c>
    </row>
    <row r="10" spans="1:19" ht="15.6" x14ac:dyDescent="0.3">
      <c r="A10" t="s">
        <v>15</v>
      </c>
      <c r="B10">
        <v>2001</v>
      </c>
      <c r="C10">
        <v>2</v>
      </c>
      <c r="D10">
        <v>0</v>
      </c>
      <c r="E10">
        <v>0</v>
      </c>
      <c r="F10">
        <v>110.72</v>
      </c>
      <c r="M10" s="3">
        <v>0.5</v>
      </c>
      <c r="N10" s="5">
        <f>AVERAGE(K19:K21)</f>
        <v>1.9134727983352569</v>
      </c>
      <c r="O10" s="5">
        <f>STDEV(K19:K21)</f>
        <v>4.2280717693208417E-2</v>
      </c>
      <c r="Q10" s="3">
        <v>0.5</v>
      </c>
      <c r="R10" s="7">
        <f>AVERAGE(J19:J21)</f>
        <v>0.5400245453079503</v>
      </c>
      <c r="S10" s="5">
        <f>STDEV(J19:J21)</f>
        <v>1.19325581045277E-2</v>
      </c>
    </row>
    <row r="11" spans="1:19" ht="15.6" x14ac:dyDescent="0.3">
      <c r="A11" t="s">
        <v>15</v>
      </c>
      <c r="B11">
        <v>2001</v>
      </c>
      <c r="C11">
        <v>3</v>
      </c>
      <c r="D11">
        <v>0</v>
      </c>
      <c r="E11">
        <v>0</v>
      </c>
      <c r="F11">
        <v>124.92</v>
      </c>
      <c r="M11" s="3">
        <v>1</v>
      </c>
      <c r="N11" s="5">
        <f>AVERAGE(K31:K33)</f>
        <v>3.3629581093833152</v>
      </c>
      <c r="O11" s="5">
        <f>STDEV(K31:K33)</f>
        <v>0.16361831108362807</v>
      </c>
      <c r="Q11" s="3">
        <v>1</v>
      </c>
      <c r="R11" s="7">
        <f>AVERAGE(J31:J33)</f>
        <v>0.94910151087040229</v>
      </c>
      <c r="S11" s="5">
        <f>STDEV(J31:J33)</f>
        <v>4.6176723350268352E-2</v>
      </c>
    </row>
    <row r="12" spans="1:19" ht="15.6" x14ac:dyDescent="0.3">
      <c r="A12" t="s">
        <v>15</v>
      </c>
      <c r="B12">
        <v>16</v>
      </c>
      <c r="C12">
        <v>20</v>
      </c>
      <c r="D12">
        <v>953669.12890625</v>
      </c>
      <c r="E12">
        <v>0</v>
      </c>
      <c r="F12">
        <v>139.88</v>
      </c>
      <c r="G12" t="s">
        <v>8</v>
      </c>
      <c r="H12">
        <v>0</v>
      </c>
      <c r="I12">
        <f t="shared" ref="I12:J14" si="1">D12/(C12+D12)</f>
        <v>0.99997902880572531</v>
      </c>
      <c r="J12" s="6">
        <f t="shared" si="1"/>
        <v>0</v>
      </c>
      <c r="K12" s="2">
        <f>(J12*$N$3)/$N$2</f>
        <v>0</v>
      </c>
      <c r="M12" s="3">
        <v>1.5</v>
      </c>
      <c r="N12" s="5">
        <f>AVERAGE(K43:K45)</f>
        <v>3.5433070866141727</v>
      </c>
      <c r="O12" s="5">
        <f>STDEV(K43:K45)</f>
        <v>0</v>
      </c>
      <c r="Q12" s="3">
        <v>1.5</v>
      </c>
      <c r="R12" s="7">
        <f>AVERAGE(J43:J45)</f>
        <v>1</v>
      </c>
      <c r="S12" s="5">
        <f>STDEV(J43:J45)</f>
        <v>0</v>
      </c>
    </row>
    <row r="13" spans="1:19" ht="15.6" x14ac:dyDescent="0.3">
      <c r="A13" t="s">
        <v>15</v>
      </c>
      <c r="B13">
        <v>16</v>
      </c>
      <c r="C13">
        <v>22</v>
      </c>
      <c r="D13">
        <v>1233824.1875</v>
      </c>
      <c r="E13">
        <v>0</v>
      </c>
      <c r="F13">
        <v>154.71</v>
      </c>
      <c r="G13" t="s">
        <v>8</v>
      </c>
      <c r="H13">
        <v>0</v>
      </c>
      <c r="I13">
        <f t="shared" si="1"/>
        <v>0.99998216957654618</v>
      </c>
      <c r="J13" s="6">
        <f t="shared" si="1"/>
        <v>0</v>
      </c>
      <c r="K13" s="2">
        <f>(J13*$N$3)/$N$2</f>
        <v>0</v>
      </c>
      <c r="M13" s="3">
        <v>3</v>
      </c>
      <c r="N13" s="5">
        <f>AVERAGE(K55:K57)</f>
        <v>3.5433070866141727</v>
      </c>
      <c r="O13" s="5">
        <f>STDEV(K55:K57)</f>
        <v>0</v>
      </c>
      <c r="Q13" s="3">
        <v>3</v>
      </c>
      <c r="R13" s="7">
        <f>AVERAGE(J55:J57)</f>
        <v>1</v>
      </c>
      <c r="S13" s="5">
        <f>STDEV(J55:J57)</f>
        <v>0</v>
      </c>
    </row>
    <row r="14" spans="1:19" ht="15.6" x14ac:dyDescent="0.3">
      <c r="A14" t="s">
        <v>15</v>
      </c>
      <c r="B14">
        <v>16</v>
      </c>
      <c r="C14">
        <v>24</v>
      </c>
      <c r="D14">
        <v>993720.56738281297</v>
      </c>
      <c r="E14">
        <v>0</v>
      </c>
      <c r="F14">
        <v>169.69</v>
      </c>
      <c r="G14" t="s">
        <v>8</v>
      </c>
      <c r="H14">
        <v>0</v>
      </c>
      <c r="I14">
        <f t="shared" si="1"/>
        <v>0.99997584892457503</v>
      </c>
      <c r="J14" s="6">
        <f t="shared" si="1"/>
        <v>0</v>
      </c>
      <c r="K14" s="2">
        <f>(J14*$N$3)/$N$2</f>
        <v>0</v>
      </c>
      <c r="M14" s="3">
        <v>5</v>
      </c>
      <c r="N14" s="5">
        <f>AVERAGE(K67:K69)</f>
        <v>3.5433070866141727</v>
      </c>
      <c r="O14" s="5">
        <f>STDEV(K67:K69)</f>
        <v>0</v>
      </c>
      <c r="Q14" s="3">
        <v>5</v>
      </c>
      <c r="R14" s="7">
        <f>AVERAGE(J67:J69)</f>
        <v>1</v>
      </c>
      <c r="S14" s="5">
        <f>STDEV(J67:J69)</f>
        <v>0</v>
      </c>
    </row>
    <row r="15" spans="1:19" ht="15.6" x14ac:dyDescent="0.3">
      <c r="A15" t="s">
        <v>15</v>
      </c>
      <c r="B15">
        <v>2001</v>
      </c>
      <c r="C15">
        <v>2</v>
      </c>
      <c r="D15">
        <v>0</v>
      </c>
      <c r="E15">
        <v>0</v>
      </c>
      <c r="F15">
        <v>184.03</v>
      </c>
      <c r="M15" s="3">
        <v>10</v>
      </c>
      <c r="N15" s="5">
        <f>AVERAGE(K79:K81)</f>
        <v>3.5433070866141727</v>
      </c>
      <c r="O15" s="5">
        <f>STDEV(K79:K81)</f>
        <v>0</v>
      </c>
      <c r="Q15" s="3">
        <v>10</v>
      </c>
      <c r="R15" s="7">
        <f>AVERAGE(J79:J81)</f>
        <v>1</v>
      </c>
      <c r="S15" s="5">
        <f>STDEV(J79:J81)</f>
        <v>0</v>
      </c>
    </row>
    <row r="16" spans="1:19" ht="15.6" x14ac:dyDescent="0.3">
      <c r="A16" t="s">
        <v>15</v>
      </c>
      <c r="B16">
        <v>2001</v>
      </c>
      <c r="C16">
        <v>3</v>
      </c>
      <c r="D16">
        <v>0</v>
      </c>
      <c r="E16">
        <v>0</v>
      </c>
      <c r="F16">
        <v>198.29</v>
      </c>
      <c r="M16" s="3">
        <v>20</v>
      </c>
      <c r="N16" s="5">
        <f>AVERAGE(K91:K93)</f>
        <v>3.5433070866141727</v>
      </c>
      <c r="O16" s="5">
        <f>STDEV(K91:K93)</f>
        <v>0</v>
      </c>
      <c r="Q16" s="3">
        <v>20</v>
      </c>
      <c r="R16" s="7">
        <f>AVERAGE(J91:J93)</f>
        <v>1</v>
      </c>
      <c r="S16" s="5">
        <f>STDEV(J91:J93)</f>
        <v>0</v>
      </c>
    </row>
    <row r="17" spans="1:19" ht="15.6" x14ac:dyDescent="0.3">
      <c r="A17" t="s">
        <v>15</v>
      </c>
      <c r="B17">
        <v>2001</v>
      </c>
      <c r="C17">
        <v>2</v>
      </c>
      <c r="D17">
        <v>0</v>
      </c>
      <c r="E17">
        <v>0</v>
      </c>
      <c r="F17">
        <v>212.61</v>
      </c>
      <c r="M17" s="3">
        <v>40</v>
      </c>
      <c r="N17" s="5">
        <f>AVERAGE(K103:K105)</f>
        <v>3.5433070866141727</v>
      </c>
      <c r="O17" s="5">
        <f>STDEV(K105:K107)</f>
        <v>0</v>
      </c>
      <c r="Q17" s="3">
        <v>40</v>
      </c>
      <c r="R17" s="7">
        <f>AVERAGE(J103:J105)</f>
        <v>1</v>
      </c>
      <c r="S17" s="5">
        <f>STDEV(J105:J107)</f>
        <v>0</v>
      </c>
    </row>
    <row r="18" spans="1:19" ht="15.6" x14ac:dyDescent="0.3">
      <c r="A18" t="s">
        <v>15</v>
      </c>
      <c r="B18">
        <v>2001</v>
      </c>
      <c r="C18">
        <v>3</v>
      </c>
      <c r="D18">
        <v>0</v>
      </c>
      <c r="E18">
        <v>0</v>
      </c>
      <c r="F18">
        <v>226.95</v>
      </c>
      <c r="M18" s="3">
        <v>60</v>
      </c>
      <c r="N18" s="5">
        <f>AVERAGE(K119:K121)</f>
        <v>3.5433070866141727</v>
      </c>
      <c r="O18" s="5">
        <f>STDEV(K119:K121)</f>
        <v>0</v>
      </c>
      <c r="Q18" s="3">
        <v>60</v>
      </c>
      <c r="R18" s="7">
        <f>AVERAGE(J119:J121)</f>
        <v>1</v>
      </c>
      <c r="S18" s="5">
        <f>STDEV(J119:J121)</f>
        <v>0</v>
      </c>
    </row>
    <row r="19" spans="1:19" ht="15.6" x14ac:dyDescent="0.3">
      <c r="A19" t="s">
        <v>15</v>
      </c>
      <c r="B19">
        <v>15</v>
      </c>
      <c r="C19">
        <v>14</v>
      </c>
      <c r="D19">
        <v>142591.04248046901</v>
      </c>
      <c r="E19">
        <v>176865.22753906299</v>
      </c>
      <c r="F19">
        <v>241.82</v>
      </c>
      <c r="G19" t="s">
        <v>7</v>
      </c>
      <c r="H19">
        <v>0.5</v>
      </c>
      <c r="I19">
        <f t="shared" ref="I19:J21" si="2">D19/(C19+D19)</f>
        <v>0.99990182675341288</v>
      </c>
      <c r="J19" s="6">
        <f t="shared" si="2"/>
        <v>0.5536445646480791</v>
      </c>
      <c r="K19" s="2">
        <f>(J19*$N$3)/$N$2</f>
        <v>1.9617327093829573</v>
      </c>
      <c r="M19" s="3">
        <v>300</v>
      </c>
      <c r="N19" s="5">
        <f>AVERAGE(K133:K134)</f>
        <v>3.5433070866141727</v>
      </c>
      <c r="O19" s="5">
        <f>STDEV(K133:K135)</f>
        <v>0</v>
      </c>
      <c r="Q19" s="3">
        <v>300</v>
      </c>
      <c r="R19" s="7">
        <f>AVERAGE(J133:J134)</f>
        <v>1</v>
      </c>
      <c r="S19" s="5">
        <f>STDEV(J133:J135)</f>
        <v>0</v>
      </c>
    </row>
    <row r="20" spans="1:19" x14ac:dyDescent="0.3">
      <c r="A20" t="s">
        <v>15</v>
      </c>
      <c r="B20">
        <v>15</v>
      </c>
      <c r="C20">
        <v>16</v>
      </c>
      <c r="D20">
        <v>182488.498046875</v>
      </c>
      <c r="E20">
        <v>209976.19140625</v>
      </c>
      <c r="F20">
        <v>256.79000000000002</v>
      </c>
      <c r="G20" t="s">
        <v>7</v>
      </c>
      <c r="H20">
        <v>0.5</v>
      </c>
      <c r="I20">
        <f t="shared" si="2"/>
        <v>0.99991233092788823</v>
      </c>
      <c r="J20" s="6">
        <f t="shared" si="2"/>
        <v>0.53501932033385902</v>
      </c>
      <c r="K20" s="2">
        <f>(J20*$N$3)/$N$2</f>
        <v>1.8957377492144609</v>
      </c>
    </row>
    <row r="21" spans="1:19" x14ac:dyDescent="0.3">
      <c r="A21" t="s">
        <v>15</v>
      </c>
      <c r="B21">
        <v>15</v>
      </c>
      <c r="C21">
        <v>18</v>
      </c>
      <c r="D21">
        <v>174575.62353515599</v>
      </c>
      <c r="E21">
        <v>197979.34082031299</v>
      </c>
      <c r="F21">
        <v>271.64999999999998</v>
      </c>
      <c r="G21" t="s">
        <v>7</v>
      </c>
      <c r="H21">
        <v>0.5</v>
      </c>
      <c r="I21">
        <f t="shared" si="2"/>
        <v>0.99989690345136584</v>
      </c>
      <c r="J21" s="6">
        <f t="shared" si="2"/>
        <v>0.5314097509419129</v>
      </c>
      <c r="K21" s="2">
        <f>(J21*$N$3)/$N$2</f>
        <v>1.8829479364083526</v>
      </c>
    </row>
    <row r="22" spans="1:19" x14ac:dyDescent="0.3">
      <c r="A22" t="s">
        <v>15</v>
      </c>
      <c r="B22">
        <v>2001</v>
      </c>
      <c r="C22">
        <v>2</v>
      </c>
      <c r="D22">
        <v>0</v>
      </c>
      <c r="E22">
        <v>0</v>
      </c>
      <c r="F22">
        <v>286</v>
      </c>
    </row>
    <row r="23" spans="1:19" x14ac:dyDescent="0.3">
      <c r="A23" t="s">
        <v>15</v>
      </c>
      <c r="B23">
        <v>2001</v>
      </c>
      <c r="C23">
        <v>3</v>
      </c>
      <c r="D23">
        <v>0</v>
      </c>
      <c r="E23">
        <v>0</v>
      </c>
      <c r="F23">
        <v>300.32</v>
      </c>
    </row>
    <row r="24" spans="1:19" x14ac:dyDescent="0.3">
      <c r="A24" t="s">
        <v>15</v>
      </c>
      <c r="B24">
        <v>15</v>
      </c>
      <c r="C24">
        <v>20</v>
      </c>
      <c r="D24">
        <v>963762.63769531297</v>
      </c>
      <c r="E24">
        <v>0</v>
      </c>
      <c r="F24">
        <v>315.14</v>
      </c>
      <c r="G24" t="s">
        <v>8</v>
      </c>
      <c r="H24">
        <v>0.5</v>
      </c>
      <c r="I24">
        <f t="shared" ref="I24:J26" si="3">D24/(C24+D24)</f>
        <v>0.99997924843297881</v>
      </c>
      <c r="J24" s="6">
        <f t="shared" si="3"/>
        <v>0</v>
      </c>
      <c r="K24" s="2">
        <f>(J24*$N$3)/$N$2</f>
        <v>0</v>
      </c>
    </row>
    <row r="25" spans="1:19" x14ac:dyDescent="0.3">
      <c r="A25" t="s">
        <v>15</v>
      </c>
      <c r="B25">
        <v>15</v>
      </c>
      <c r="C25">
        <v>22</v>
      </c>
      <c r="D25">
        <v>840362.94628906297</v>
      </c>
      <c r="E25">
        <v>0</v>
      </c>
      <c r="F25">
        <v>330.07</v>
      </c>
      <c r="G25" t="s">
        <v>8</v>
      </c>
      <c r="H25">
        <v>0.5</v>
      </c>
      <c r="I25">
        <f t="shared" si="3"/>
        <v>0.99997382152060532</v>
      </c>
      <c r="J25" s="6">
        <f t="shared" si="3"/>
        <v>0</v>
      </c>
      <c r="K25" s="2">
        <f>(J25*$N$3)/$N$2</f>
        <v>0</v>
      </c>
    </row>
    <row r="26" spans="1:19" x14ac:dyDescent="0.3">
      <c r="A26" t="s">
        <v>15</v>
      </c>
      <c r="B26">
        <v>15</v>
      </c>
      <c r="C26">
        <v>24</v>
      </c>
      <c r="D26">
        <v>1234355.7734375</v>
      </c>
      <c r="E26">
        <v>0</v>
      </c>
      <c r="F26">
        <v>345.01</v>
      </c>
      <c r="G26" t="s">
        <v>8</v>
      </c>
      <c r="H26">
        <v>0.5</v>
      </c>
      <c r="I26">
        <f t="shared" si="3"/>
        <v>0.999980557037213</v>
      </c>
      <c r="J26" s="6">
        <f t="shared" si="3"/>
        <v>0</v>
      </c>
      <c r="K26" s="2">
        <f>(J26*$N$3)/$N$2</f>
        <v>0</v>
      </c>
    </row>
    <row r="27" spans="1:19" x14ac:dyDescent="0.3">
      <c r="A27" t="s">
        <v>15</v>
      </c>
      <c r="B27">
        <v>2001</v>
      </c>
      <c r="C27">
        <v>2</v>
      </c>
      <c r="D27">
        <v>0</v>
      </c>
      <c r="E27">
        <v>0</v>
      </c>
      <c r="F27">
        <v>359.48</v>
      </c>
    </row>
    <row r="28" spans="1:19" x14ac:dyDescent="0.3">
      <c r="A28" t="s">
        <v>15</v>
      </c>
      <c r="B28">
        <v>2001</v>
      </c>
      <c r="C28">
        <v>3</v>
      </c>
      <c r="D28">
        <v>0</v>
      </c>
      <c r="E28">
        <v>0</v>
      </c>
      <c r="F28">
        <v>373.65</v>
      </c>
    </row>
    <row r="29" spans="1:19" x14ac:dyDescent="0.3">
      <c r="A29" t="s">
        <v>15</v>
      </c>
      <c r="B29">
        <v>2001</v>
      </c>
      <c r="C29">
        <v>2</v>
      </c>
      <c r="D29">
        <v>0</v>
      </c>
      <c r="E29">
        <v>0</v>
      </c>
      <c r="F29">
        <v>387.97</v>
      </c>
    </row>
    <row r="30" spans="1:19" x14ac:dyDescent="0.3">
      <c r="A30" t="s">
        <v>15</v>
      </c>
      <c r="B30">
        <v>2001</v>
      </c>
      <c r="C30">
        <v>3</v>
      </c>
      <c r="D30">
        <v>0</v>
      </c>
      <c r="E30">
        <v>0</v>
      </c>
      <c r="F30">
        <v>402.28</v>
      </c>
    </row>
    <row r="31" spans="1:19" x14ac:dyDescent="0.3">
      <c r="A31" t="s">
        <v>15</v>
      </c>
      <c r="B31">
        <v>14</v>
      </c>
      <c r="C31">
        <v>14</v>
      </c>
      <c r="D31">
        <v>0</v>
      </c>
      <c r="E31">
        <v>288933.63037109398</v>
      </c>
      <c r="F31">
        <v>417.14</v>
      </c>
      <c r="G31" t="s">
        <v>7</v>
      </c>
      <c r="H31">
        <v>1</v>
      </c>
      <c r="I31">
        <f t="shared" ref="I31:J33" si="4">D31/(C31+D31)</f>
        <v>0</v>
      </c>
      <c r="J31" s="6">
        <f t="shared" si="4"/>
        <v>1</v>
      </c>
      <c r="K31" s="2">
        <f>(J31*$N$3)/$N$2</f>
        <v>3.5433070866141727</v>
      </c>
    </row>
    <row r="32" spans="1:19" x14ac:dyDescent="0.3">
      <c r="A32" t="s">
        <v>15</v>
      </c>
      <c r="B32">
        <v>14</v>
      </c>
      <c r="C32">
        <v>16</v>
      </c>
      <c r="D32">
        <v>24798.640625</v>
      </c>
      <c r="E32">
        <v>371414.22265625</v>
      </c>
      <c r="F32">
        <v>432.1</v>
      </c>
      <c r="G32" t="s">
        <v>7</v>
      </c>
      <c r="H32">
        <v>1</v>
      </c>
      <c r="I32">
        <f t="shared" si="4"/>
        <v>0.99935521935450156</v>
      </c>
      <c r="J32" s="6">
        <f t="shared" si="4"/>
        <v>0.93741081392555192</v>
      </c>
      <c r="K32" s="2">
        <f>(J32*$N$3)/$N$2</f>
        <v>3.3215343800511676</v>
      </c>
    </row>
    <row r="33" spans="1:11" x14ac:dyDescent="0.3">
      <c r="A33" t="s">
        <v>15</v>
      </c>
      <c r="B33">
        <v>14</v>
      </c>
      <c r="C33">
        <v>18</v>
      </c>
      <c r="D33">
        <v>39033.568359375</v>
      </c>
      <c r="E33">
        <v>394161.185546875</v>
      </c>
      <c r="F33">
        <v>446.92</v>
      </c>
      <c r="G33" t="s">
        <v>7</v>
      </c>
      <c r="H33">
        <v>1</v>
      </c>
      <c r="I33">
        <f t="shared" si="4"/>
        <v>0.99953907100902184</v>
      </c>
      <c r="J33" s="6">
        <f t="shared" si="4"/>
        <v>0.90989371868565505</v>
      </c>
      <c r="K33" s="2">
        <f>(J33*$N$3)/$N$2</f>
        <v>3.2240328614846039</v>
      </c>
    </row>
    <row r="34" spans="1:11" x14ac:dyDescent="0.3">
      <c r="A34" t="s">
        <v>15</v>
      </c>
      <c r="B34">
        <v>2001</v>
      </c>
      <c r="C34">
        <v>2</v>
      </c>
      <c r="D34">
        <v>0</v>
      </c>
      <c r="E34">
        <v>0</v>
      </c>
      <c r="F34">
        <v>461.4</v>
      </c>
    </row>
    <row r="35" spans="1:11" x14ac:dyDescent="0.3">
      <c r="A35" t="s">
        <v>15</v>
      </c>
      <c r="B35">
        <v>2001</v>
      </c>
      <c r="C35">
        <v>3</v>
      </c>
      <c r="D35">
        <v>0</v>
      </c>
      <c r="E35">
        <v>0</v>
      </c>
      <c r="F35">
        <v>475.6</v>
      </c>
    </row>
    <row r="36" spans="1:11" x14ac:dyDescent="0.3">
      <c r="A36" t="s">
        <v>15</v>
      </c>
      <c r="B36">
        <v>14</v>
      </c>
      <c r="C36">
        <v>20</v>
      </c>
      <c r="D36">
        <v>2518987.6328125</v>
      </c>
      <c r="E36">
        <v>0</v>
      </c>
      <c r="F36">
        <v>490.4</v>
      </c>
      <c r="G36" t="s">
        <v>8</v>
      </c>
      <c r="H36">
        <v>1</v>
      </c>
      <c r="I36">
        <f t="shared" ref="I36:J38" si="5">D36/(C36+D36)</f>
        <v>0.99999206036546318</v>
      </c>
      <c r="J36" s="6">
        <f t="shared" si="5"/>
        <v>0</v>
      </c>
      <c r="K36" s="2">
        <f>(J36*$N$3)/$N$2</f>
        <v>0</v>
      </c>
    </row>
    <row r="37" spans="1:11" x14ac:dyDescent="0.3">
      <c r="A37" t="s">
        <v>15</v>
      </c>
      <c r="B37">
        <v>14</v>
      </c>
      <c r="C37">
        <v>22</v>
      </c>
      <c r="D37">
        <v>1359136.7075195301</v>
      </c>
      <c r="E37">
        <v>0</v>
      </c>
      <c r="F37">
        <v>505.33</v>
      </c>
      <c r="G37" t="s">
        <v>8</v>
      </c>
      <c r="H37">
        <v>1</v>
      </c>
      <c r="I37">
        <f t="shared" si="5"/>
        <v>0.99998381351649501</v>
      </c>
      <c r="J37" s="6">
        <f t="shared" si="5"/>
        <v>0</v>
      </c>
      <c r="K37" s="2">
        <f>(J37*$N$3)/$N$2</f>
        <v>0</v>
      </c>
    </row>
    <row r="38" spans="1:11" x14ac:dyDescent="0.3">
      <c r="A38" t="s">
        <v>15</v>
      </c>
      <c r="B38">
        <v>14</v>
      </c>
      <c r="C38">
        <v>24</v>
      </c>
      <c r="D38">
        <v>693468.798828125</v>
      </c>
      <c r="E38">
        <v>0</v>
      </c>
      <c r="F38">
        <v>520.32000000000005</v>
      </c>
      <c r="G38" t="s">
        <v>8</v>
      </c>
      <c r="H38">
        <v>1</v>
      </c>
      <c r="I38">
        <f t="shared" si="5"/>
        <v>0.99996539257503392</v>
      </c>
      <c r="J38" s="6">
        <f t="shared" si="5"/>
        <v>0</v>
      </c>
      <c r="K38" s="2">
        <f>(J38*$N$3)/$N$2</f>
        <v>0</v>
      </c>
    </row>
    <row r="39" spans="1:11" x14ac:dyDescent="0.3">
      <c r="A39" t="s">
        <v>15</v>
      </c>
      <c r="B39">
        <v>2001</v>
      </c>
      <c r="C39">
        <v>2</v>
      </c>
      <c r="D39">
        <v>0</v>
      </c>
      <c r="E39">
        <v>0</v>
      </c>
      <c r="F39">
        <v>534.63</v>
      </c>
    </row>
    <row r="40" spans="1:11" x14ac:dyDescent="0.3">
      <c r="A40" t="s">
        <v>15</v>
      </c>
      <c r="B40">
        <v>2001</v>
      </c>
      <c r="C40">
        <v>3</v>
      </c>
      <c r="D40">
        <v>0</v>
      </c>
      <c r="E40">
        <v>0</v>
      </c>
      <c r="F40">
        <v>548.91999999999996</v>
      </c>
    </row>
    <row r="41" spans="1:11" x14ac:dyDescent="0.3">
      <c r="A41" t="s">
        <v>15</v>
      </c>
      <c r="B41">
        <v>2001</v>
      </c>
      <c r="C41">
        <v>2</v>
      </c>
      <c r="D41">
        <v>0</v>
      </c>
      <c r="E41">
        <v>0</v>
      </c>
      <c r="F41">
        <v>563.22</v>
      </c>
    </row>
    <row r="42" spans="1:11" x14ac:dyDescent="0.3">
      <c r="A42" t="s">
        <v>15</v>
      </c>
      <c r="B42">
        <v>2001</v>
      </c>
      <c r="C42">
        <v>3</v>
      </c>
      <c r="D42">
        <v>0</v>
      </c>
      <c r="E42">
        <v>0</v>
      </c>
      <c r="F42">
        <v>577.53</v>
      </c>
    </row>
    <row r="43" spans="1:11" x14ac:dyDescent="0.3">
      <c r="A43" t="s">
        <v>15</v>
      </c>
      <c r="B43">
        <v>13</v>
      </c>
      <c r="C43">
        <v>14</v>
      </c>
      <c r="D43">
        <v>0</v>
      </c>
      <c r="E43">
        <v>366057.08300781302</v>
      </c>
      <c r="F43">
        <v>592.34</v>
      </c>
      <c r="G43" t="s">
        <v>7</v>
      </c>
      <c r="H43">
        <v>1.5</v>
      </c>
      <c r="I43">
        <f t="shared" ref="I43:J45" si="6">D43/(C43+D43)</f>
        <v>0</v>
      </c>
      <c r="J43" s="6">
        <f t="shared" si="6"/>
        <v>1</v>
      </c>
      <c r="K43" s="2">
        <f>(J43*$N$3)/$N$2</f>
        <v>3.5433070866141727</v>
      </c>
    </row>
    <row r="44" spans="1:11" x14ac:dyDescent="0.3">
      <c r="A44" t="s">
        <v>15</v>
      </c>
      <c r="B44">
        <v>13</v>
      </c>
      <c r="C44">
        <v>16</v>
      </c>
      <c r="D44">
        <v>0</v>
      </c>
      <c r="E44">
        <v>333949.1796875</v>
      </c>
      <c r="F44">
        <v>607.29999999999995</v>
      </c>
      <c r="G44" t="s">
        <v>7</v>
      </c>
      <c r="H44">
        <v>1.5</v>
      </c>
      <c r="I44">
        <f t="shared" si="6"/>
        <v>0</v>
      </c>
      <c r="J44" s="6">
        <f t="shared" si="6"/>
        <v>1</v>
      </c>
      <c r="K44" s="2">
        <f>(J44*$N$3)/$N$2</f>
        <v>3.5433070866141727</v>
      </c>
    </row>
    <row r="45" spans="1:11" x14ac:dyDescent="0.3">
      <c r="A45" t="s">
        <v>15</v>
      </c>
      <c r="B45">
        <v>13</v>
      </c>
      <c r="C45">
        <v>18</v>
      </c>
      <c r="D45">
        <v>0</v>
      </c>
      <c r="E45">
        <v>377617.84765625</v>
      </c>
      <c r="F45">
        <v>622.19000000000005</v>
      </c>
      <c r="G45" t="s">
        <v>7</v>
      </c>
      <c r="H45">
        <v>1.5</v>
      </c>
      <c r="I45">
        <f t="shared" si="6"/>
        <v>0</v>
      </c>
      <c r="J45" s="6">
        <f t="shared" si="6"/>
        <v>1</v>
      </c>
      <c r="K45" s="2">
        <f>(J45*$N$3)/$N$2</f>
        <v>3.5433070866141727</v>
      </c>
    </row>
    <row r="46" spans="1:11" x14ac:dyDescent="0.3">
      <c r="A46" t="s">
        <v>15</v>
      </c>
      <c r="B46">
        <v>2001</v>
      </c>
      <c r="C46">
        <v>2</v>
      </c>
      <c r="D46">
        <v>0</v>
      </c>
      <c r="E46">
        <v>0</v>
      </c>
      <c r="F46">
        <v>636.59</v>
      </c>
    </row>
    <row r="47" spans="1:11" x14ac:dyDescent="0.3">
      <c r="A47" t="s">
        <v>15</v>
      </c>
      <c r="B47">
        <v>2001</v>
      </c>
      <c r="C47">
        <v>3</v>
      </c>
      <c r="D47">
        <v>0</v>
      </c>
      <c r="E47">
        <v>0</v>
      </c>
      <c r="F47">
        <v>650.79999999999995</v>
      </c>
    </row>
    <row r="48" spans="1:11" x14ac:dyDescent="0.3">
      <c r="A48" t="s">
        <v>15</v>
      </c>
      <c r="B48">
        <v>13</v>
      </c>
      <c r="C48">
        <v>20</v>
      </c>
      <c r="D48">
        <v>1910961.81640625</v>
      </c>
      <c r="E48">
        <v>0</v>
      </c>
      <c r="F48">
        <v>665.7</v>
      </c>
      <c r="G48" t="s">
        <v>8</v>
      </c>
      <c r="H48">
        <v>1.5</v>
      </c>
      <c r="I48">
        <f t="shared" ref="I48:J50" si="7">D48/(C48+D48)</f>
        <v>0.99998953417566394</v>
      </c>
      <c r="J48" s="6">
        <f t="shared" si="7"/>
        <v>0</v>
      </c>
      <c r="K48" s="2">
        <f>(J48*$N$3)/$N$2</f>
        <v>0</v>
      </c>
    </row>
    <row r="49" spans="1:11" x14ac:dyDescent="0.3">
      <c r="A49" t="s">
        <v>15</v>
      </c>
      <c r="B49">
        <v>13</v>
      </c>
      <c r="C49">
        <v>22</v>
      </c>
      <c r="D49">
        <v>1750279.390625</v>
      </c>
      <c r="E49">
        <v>0</v>
      </c>
      <c r="F49">
        <v>680.65</v>
      </c>
      <c r="G49" t="s">
        <v>8</v>
      </c>
      <c r="H49">
        <v>1.5</v>
      </c>
      <c r="I49">
        <f t="shared" si="7"/>
        <v>0.9999874307361476</v>
      </c>
      <c r="J49" s="6">
        <f t="shared" si="7"/>
        <v>0</v>
      </c>
      <c r="K49" s="2">
        <f>(J49*$N$3)/$N$2</f>
        <v>0</v>
      </c>
    </row>
    <row r="50" spans="1:11" x14ac:dyDescent="0.3">
      <c r="A50" t="s">
        <v>15</v>
      </c>
      <c r="B50">
        <v>13</v>
      </c>
      <c r="C50">
        <v>24</v>
      </c>
      <c r="D50">
        <v>878343.58935546898</v>
      </c>
      <c r="E50">
        <v>0</v>
      </c>
      <c r="F50">
        <v>695.5</v>
      </c>
      <c r="G50" t="s">
        <v>8</v>
      </c>
      <c r="H50">
        <v>1.5</v>
      </c>
      <c r="I50">
        <f t="shared" si="7"/>
        <v>0.99997267658746647</v>
      </c>
      <c r="J50" s="6">
        <f t="shared" si="7"/>
        <v>0</v>
      </c>
      <c r="K50" s="2">
        <f>(J50*$N$3)/$N$2</f>
        <v>0</v>
      </c>
    </row>
    <row r="51" spans="1:11" x14ac:dyDescent="0.3">
      <c r="A51" t="s">
        <v>15</v>
      </c>
      <c r="B51">
        <v>2001</v>
      </c>
      <c r="C51">
        <v>2</v>
      </c>
      <c r="D51">
        <v>0</v>
      </c>
      <c r="E51">
        <v>0</v>
      </c>
      <c r="F51">
        <v>709.92</v>
      </c>
    </row>
    <row r="52" spans="1:11" x14ac:dyDescent="0.3">
      <c r="A52" t="s">
        <v>15</v>
      </c>
      <c r="B52">
        <v>2001</v>
      </c>
      <c r="C52">
        <v>3</v>
      </c>
      <c r="D52">
        <v>0</v>
      </c>
      <c r="E52">
        <v>0</v>
      </c>
      <c r="F52">
        <v>724.08</v>
      </c>
    </row>
    <row r="53" spans="1:11" x14ac:dyDescent="0.3">
      <c r="A53" t="s">
        <v>15</v>
      </c>
      <c r="B53">
        <v>2001</v>
      </c>
      <c r="C53">
        <v>2</v>
      </c>
      <c r="D53">
        <v>0</v>
      </c>
      <c r="E53">
        <v>0</v>
      </c>
      <c r="F53">
        <v>738.51</v>
      </c>
    </row>
    <row r="54" spans="1:11" x14ac:dyDescent="0.3">
      <c r="A54" t="s">
        <v>15</v>
      </c>
      <c r="B54">
        <v>2001</v>
      </c>
      <c r="C54">
        <v>3</v>
      </c>
      <c r="D54">
        <v>0</v>
      </c>
      <c r="E54">
        <v>0</v>
      </c>
      <c r="F54">
        <v>752.69</v>
      </c>
    </row>
    <row r="55" spans="1:11" x14ac:dyDescent="0.3">
      <c r="A55" t="s">
        <v>15</v>
      </c>
      <c r="B55">
        <v>12</v>
      </c>
      <c r="C55">
        <v>14</v>
      </c>
      <c r="D55">
        <v>0</v>
      </c>
      <c r="E55">
        <v>396731.62109375</v>
      </c>
      <c r="F55">
        <v>767.65</v>
      </c>
      <c r="G55" t="s">
        <v>7</v>
      </c>
      <c r="H55">
        <v>3</v>
      </c>
      <c r="I55">
        <f t="shared" ref="I55:J57" si="8">D55/(C55+D55)</f>
        <v>0</v>
      </c>
      <c r="J55" s="6">
        <f t="shared" si="8"/>
        <v>1</v>
      </c>
      <c r="K55" s="2">
        <f>(J55*$N$3)/$N$2</f>
        <v>3.5433070866141727</v>
      </c>
    </row>
    <row r="56" spans="1:11" x14ac:dyDescent="0.3">
      <c r="A56" t="s">
        <v>15</v>
      </c>
      <c r="B56">
        <v>12</v>
      </c>
      <c r="C56">
        <v>16</v>
      </c>
      <c r="D56">
        <v>0</v>
      </c>
      <c r="E56">
        <v>364009.00097656302</v>
      </c>
      <c r="F56">
        <v>782.47</v>
      </c>
      <c r="G56" t="s">
        <v>7</v>
      </c>
      <c r="H56">
        <v>3</v>
      </c>
      <c r="I56">
        <f t="shared" si="8"/>
        <v>0</v>
      </c>
      <c r="J56" s="6">
        <f t="shared" si="8"/>
        <v>1</v>
      </c>
      <c r="K56" s="2">
        <f>(J56*$N$3)/$N$2</f>
        <v>3.5433070866141727</v>
      </c>
    </row>
    <row r="57" spans="1:11" x14ac:dyDescent="0.3">
      <c r="A57" t="s">
        <v>15</v>
      </c>
      <c r="B57">
        <v>12</v>
      </c>
      <c r="C57">
        <v>18</v>
      </c>
      <c r="D57">
        <v>0</v>
      </c>
      <c r="E57">
        <v>401788.001953125</v>
      </c>
      <c r="F57">
        <v>797.5</v>
      </c>
      <c r="G57" t="s">
        <v>7</v>
      </c>
      <c r="H57">
        <v>3</v>
      </c>
      <c r="I57">
        <f t="shared" si="8"/>
        <v>0</v>
      </c>
      <c r="J57" s="6">
        <f t="shared" si="8"/>
        <v>1</v>
      </c>
      <c r="K57" s="2">
        <f>(J57*$N$3)/$N$2</f>
        <v>3.5433070866141727</v>
      </c>
    </row>
    <row r="58" spans="1:11" x14ac:dyDescent="0.3">
      <c r="A58" t="s">
        <v>15</v>
      </c>
      <c r="B58">
        <v>2001</v>
      </c>
      <c r="C58">
        <v>2</v>
      </c>
      <c r="D58">
        <v>0</v>
      </c>
      <c r="E58">
        <v>0</v>
      </c>
      <c r="F58">
        <v>811.78</v>
      </c>
    </row>
    <row r="59" spans="1:11" x14ac:dyDescent="0.3">
      <c r="A59" t="s">
        <v>15</v>
      </c>
      <c r="B59">
        <v>2001</v>
      </c>
      <c r="C59">
        <v>3</v>
      </c>
      <c r="D59">
        <v>0</v>
      </c>
      <c r="E59">
        <v>0</v>
      </c>
      <c r="F59">
        <v>826.01</v>
      </c>
    </row>
    <row r="60" spans="1:11" x14ac:dyDescent="0.3">
      <c r="A60" t="s">
        <v>15</v>
      </c>
      <c r="B60">
        <v>12</v>
      </c>
      <c r="C60">
        <v>20</v>
      </c>
      <c r="D60">
        <v>2059346.5234375</v>
      </c>
      <c r="E60">
        <v>0</v>
      </c>
      <c r="F60">
        <v>840.88</v>
      </c>
      <c r="G60" t="s">
        <v>8</v>
      </c>
      <c r="H60">
        <v>3</v>
      </c>
      <c r="I60">
        <f t="shared" ref="I60:J62" si="9">D60/(C60+D60)</f>
        <v>0.9999902882756555</v>
      </c>
      <c r="J60" s="6">
        <f t="shared" si="9"/>
        <v>0</v>
      </c>
      <c r="K60" s="2">
        <f>(J60*$N$3)/$N$2</f>
        <v>0</v>
      </c>
    </row>
    <row r="61" spans="1:11" x14ac:dyDescent="0.3">
      <c r="A61" t="s">
        <v>15</v>
      </c>
      <c r="B61">
        <v>12</v>
      </c>
      <c r="C61">
        <v>22</v>
      </c>
      <c r="D61">
        <v>1501328.63818359</v>
      </c>
      <c r="E61">
        <v>0</v>
      </c>
      <c r="F61">
        <v>855.85</v>
      </c>
      <c r="G61" t="s">
        <v>8</v>
      </c>
      <c r="H61">
        <v>3</v>
      </c>
      <c r="I61">
        <f t="shared" si="9"/>
        <v>0.99998534652769278</v>
      </c>
      <c r="J61" s="6">
        <f t="shared" si="9"/>
        <v>0</v>
      </c>
      <c r="K61" s="2">
        <f>(J61*$N$3)/$N$2</f>
        <v>0</v>
      </c>
    </row>
    <row r="62" spans="1:11" x14ac:dyDescent="0.3">
      <c r="A62" t="s">
        <v>15</v>
      </c>
      <c r="B62">
        <v>12</v>
      </c>
      <c r="C62">
        <v>24</v>
      </c>
      <c r="D62">
        <v>2051460.58203125</v>
      </c>
      <c r="E62">
        <v>0</v>
      </c>
      <c r="F62">
        <v>870.81</v>
      </c>
      <c r="G62" t="s">
        <v>8</v>
      </c>
      <c r="H62">
        <v>3</v>
      </c>
      <c r="I62">
        <f t="shared" si="9"/>
        <v>0.99998830115507076</v>
      </c>
      <c r="J62" s="6">
        <f t="shared" si="9"/>
        <v>0</v>
      </c>
      <c r="K62" s="2">
        <f>(J62*$N$3)/$N$2</f>
        <v>0</v>
      </c>
    </row>
    <row r="63" spans="1:11" x14ac:dyDescent="0.3">
      <c r="A63" t="s">
        <v>15</v>
      </c>
      <c r="B63">
        <v>2001</v>
      </c>
      <c r="C63">
        <v>2</v>
      </c>
      <c r="D63">
        <v>0</v>
      </c>
      <c r="E63">
        <v>0</v>
      </c>
      <c r="F63">
        <v>885.24</v>
      </c>
    </row>
    <row r="64" spans="1:11" x14ac:dyDescent="0.3">
      <c r="A64" t="s">
        <v>15</v>
      </c>
      <c r="B64">
        <v>2001</v>
      </c>
      <c r="C64">
        <v>3</v>
      </c>
      <c r="D64">
        <v>0</v>
      </c>
      <c r="E64">
        <v>0</v>
      </c>
      <c r="F64">
        <v>899.42</v>
      </c>
    </row>
    <row r="65" spans="1:11" x14ac:dyDescent="0.3">
      <c r="A65" t="s">
        <v>15</v>
      </c>
      <c r="B65">
        <v>2001</v>
      </c>
      <c r="C65">
        <v>2</v>
      </c>
      <c r="D65">
        <v>0</v>
      </c>
      <c r="E65">
        <v>0</v>
      </c>
      <c r="F65">
        <v>913.72</v>
      </c>
    </row>
    <row r="66" spans="1:11" x14ac:dyDescent="0.3">
      <c r="A66" t="s">
        <v>15</v>
      </c>
      <c r="B66">
        <v>2001</v>
      </c>
      <c r="C66">
        <v>3</v>
      </c>
      <c r="D66">
        <v>0</v>
      </c>
      <c r="E66">
        <v>0</v>
      </c>
      <c r="F66">
        <v>927.94</v>
      </c>
    </row>
    <row r="67" spans="1:11" x14ac:dyDescent="0.3">
      <c r="A67" t="s">
        <v>15</v>
      </c>
      <c r="B67">
        <v>11</v>
      </c>
      <c r="C67">
        <v>14</v>
      </c>
      <c r="D67">
        <v>0</v>
      </c>
      <c r="E67">
        <v>471889.572265625</v>
      </c>
      <c r="F67">
        <v>942.61</v>
      </c>
      <c r="G67" t="s">
        <v>7</v>
      </c>
      <c r="H67">
        <v>5</v>
      </c>
      <c r="I67">
        <f t="shared" ref="I67:J69" si="10">D67/(C67+D67)</f>
        <v>0</v>
      </c>
      <c r="J67" s="6">
        <f t="shared" si="10"/>
        <v>1</v>
      </c>
      <c r="K67" s="2">
        <f>(J67*$N$3)/$N$2</f>
        <v>3.5433070866141727</v>
      </c>
    </row>
    <row r="68" spans="1:11" x14ac:dyDescent="0.3">
      <c r="A68" t="s">
        <v>15</v>
      </c>
      <c r="B68">
        <v>11</v>
      </c>
      <c r="C68">
        <v>16</v>
      </c>
      <c r="D68">
        <v>0</v>
      </c>
      <c r="E68">
        <v>326064.59375</v>
      </c>
      <c r="F68">
        <v>957.55</v>
      </c>
      <c r="G68" t="s">
        <v>7</v>
      </c>
      <c r="H68">
        <v>5</v>
      </c>
      <c r="I68">
        <f t="shared" si="10"/>
        <v>0</v>
      </c>
      <c r="J68" s="6">
        <f t="shared" si="10"/>
        <v>1</v>
      </c>
      <c r="K68" s="2">
        <f>(J68*$N$3)/$N$2</f>
        <v>3.5433070866141727</v>
      </c>
    </row>
    <row r="69" spans="1:11" x14ac:dyDescent="0.3">
      <c r="A69" t="s">
        <v>15</v>
      </c>
      <c r="B69">
        <v>11</v>
      </c>
      <c r="C69">
        <v>18</v>
      </c>
      <c r="D69">
        <v>0</v>
      </c>
      <c r="E69">
        <v>408326.60107421898</v>
      </c>
      <c r="F69">
        <v>972.53</v>
      </c>
      <c r="G69" t="s">
        <v>7</v>
      </c>
      <c r="H69">
        <v>5</v>
      </c>
      <c r="I69">
        <f t="shared" si="10"/>
        <v>0</v>
      </c>
      <c r="J69" s="6">
        <f t="shared" si="10"/>
        <v>1</v>
      </c>
      <c r="K69" s="2">
        <f>(J69*$N$3)/$N$2</f>
        <v>3.5433070866141727</v>
      </c>
    </row>
    <row r="70" spans="1:11" x14ac:dyDescent="0.3">
      <c r="A70" t="s">
        <v>15</v>
      </c>
      <c r="B70">
        <v>2001</v>
      </c>
      <c r="C70">
        <v>2</v>
      </c>
      <c r="D70">
        <v>0</v>
      </c>
      <c r="E70">
        <v>0</v>
      </c>
      <c r="F70">
        <v>986.96</v>
      </c>
    </row>
    <row r="71" spans="1:11" x14ac:dyDescent="0.3">
      <c r="A71" t="s">
        <v>15</v>
      </c>
      <c r="B71">
        <v>2001</v>
      </c>
      <c r="C71">
        <v>3</v>
      </c>
      <c r="D71">
        <v>0</v>
      </c>
      <c r="E71">
        <v>0</v>
      </c>
      <c r="F71">
        <v>1001.04</v>
      </c>
    </row>
    <row r="72" spans="1:11" x14ac:dyDescent="0.3">
      <c r="A72" t="s">
        <v>15</v>
      </c>
      <c r="B72">
        <v>11</v>
      </c>
      <c r="C72">
        <v>20</v>
      </c>
      <c r="D72">
        <v>1688836.02734375</v>
      </c>
      <c r="E72">
        <v>0</v>
      </c>
      <c r="F72">
        <v>1015.96</v>
      </c>
      <c r="G72" t="s">
        <v>8</v>
      </c>
      <c r="H72">
        <v>5</v>
      </c>
      <c r="I72">
        <f t="shared" ref="I72:J74" si="11">D72/(C72+D72)</f>
        <v>0.9999881576643147</v>
      </c>
      <c r="J72" s="6">
        <f t="shared" si="11"/>
        <v>0</v>
      </c>
      <c r="K72" s="2">
        <f>(J72*$N$3)/$N$2</f>
        <v>0</v>
      </c>
    </row>
    <row r="73" spans="1:11" x14ac:dyDescent="0.3">
      <c r="A73" t="s">
        <v>15</v>
      </c>
      <c r="B73">
        <v>11</v>
      </c>
      <c r="C73">
        <v>22</v>
      </c>
      <c r="D73">
        <v>1801498.3154296901</v>
      </c>
      <c r="E73">
        <v>0</v>
      </c>
      <c r="F73">
        <v>1030.71</v>
      </c>
      <c r="G73" t="s">
        <v>8</v>
      </c>
      <c r="H73">
        <v>5</v>
      </c>
      <c r="I73">
        <f t="shared" si="11"/>
        <v>0.99998778809219546</v>
      </c>
      <c r="J73" s="6">
        <f t="shared" si="11"/>
        <v>0</v>
      </c>
      <c r="K73" s="2">
        <f>(J73*$N$3)/$N$2</f>
        <v>0</v>
      </c>
    </row>
    <row r="74" spans="1:11" x14ac:dyDescent="0.3">
      <c r="A74" t="s">
        <v>15</v>
      </c>
      <c r="B74">
        <v>11</v>
      </c>
      <c r="C74">
        <v>24</v>
      </c>
      <c r="D74">
        <v>1300705.6015625</v>
      </c>
      <c r="E74">
        <v>0</v>
      </c>
      <c r="F74">
        <v>1045.56</v>
      </c>
      <c r="G74" t="s">
        <v>8</v>
      </c>
      <c r="H74">
        <v>5</v>
      </c>
      <c r="I74">
        <f t="shared" si="11"/>
        <v>0.99998154881693235</v>
      </c>
      <c r="J74" s="6">
        <f t="shared" si="11"/>
        <v>0</v>
      </c>
      <c r="K74" s="2">
        <f>(J74*$N$3)/$N$2</f>
        <v>0</v>
      </c>
    </row>
    <row r="75" spans="1:11" x14ac:dyDescent="0.3">
      <c r="A75" t="s">
        <v>15</v>
      </c>
      <c r="B75">
        <v>2001</v>
      </c>
      <c r="C75">
        <v>2</v>
      </c>
      <c r="D75">
        <v>0</v>
      </c>
      <c r="E75">
        <v>0</v>
      </c>
      <c r="F75">
        <v>1059.99</v>
      </c>
    </row>
    <row r="76" spans="1:11" x14ac:dyDescent="0.3">
      <c r="A76" t="s">
        <v>15</v>
      </c>
      <c r="B76">
        <v>2001</v>
      </c>
      <c r="C76">
        <v>3</v>
      </c>
      <c r="D76">
        <v>0</v>
      </c>
      <c r="E76">
        <v>0</v>
      </c>
      <c r="F76">
        <v>1074.2</v>
      </c>
    </row>
    <row r="77" spans="1:11" x14ac:dyDescent="0.3">
      <c r="A77" t="s">
        <v>15</v>
      </c>
      <c r="B77">
        <v>2001</v>
      </c>
      <c r="C77">
        <v>2</v>
      </c>
      <c r="D77">
        <v>0</v>
      </c>
      <c r="E77">
        <v>0</v>
      </c>
      <c r="F77">
        <v>1088.6199999999999</v>
      </c>
    </row>
    <row r="78" spans="1:11" x14ac:dyDescent="0.3">
      <c r="A78" t="s">
        <v>15</v>
      </c>
      <c r="B78">
        <v>2001</v>
      </c>
      <c r="C78">
        <v>3</v>
      </c>
      <c r="D78">
        <v>0</v>
      </c>
      <c r="E78">
        <v>0</v>
      </c>
      <c r="F78">
        <v>1102.8699999999999</v>
      </c>
    </row>
    <row r="79" spans="1:11" x14ac:dyDescent="0.3">
      <c r="A79" t="s">
        <v>15</v>
      </c>
      <c r="B79">
        <v>10</v>
      </c>
      <c r="C79">
        <v>14</v>
      </c>
      <c r="D79">
        <v>0</v>
      </c>
      <c r="E79">
        <v>352534.75390625</v>
      </c>
      <c r="F79">
        <v>1117.5999999999999</v>
      </c>
      <c r="G79" t="s">
        <v>7</v>
      </c>
      <c r="H79">
        <v>10</v>
      </c>
      <c r="I79">
        <f t="shared" ref="I79:J81" si="12">D79/(C79+D79)</f>
        <v>0</v>
      </c>
      <c r="J79" s="6">
        <f t="shared" si="12"/>
        <v>1</v>
      </c>
      <c r="K79" s="2">
        <f>(J79*$N$3)/$N$2</f>
        <v>3.5433070866141727</v>
      </c>
    </row>
    <row r="80" spans="1:11" x14ac:dyDescent="0.3">
      <c r="A80" t="s">
        <v>15</v>
      </c>
      <c r="B80">
        <v>10</v>
      </c>
      <c r="C80">
        <v>16</v>
      </c>
      <c r="D80">
        <v>0</v>
      </c>
      <c r="E80">
        <v>456621.89160156302</v>
      </c>
      <c r="F80">
        <v>1132.31</v>
      </c>
      <c r="G80" t="s">
        <v>7</v>
      </c>
      <c r="H80">
        <v>10</v>
      </c>
      <c r="I80">
        <f t="shared" si="12"/>
        <v>0</v>
      </c>
      <c r="J80" s="6">
        <f t="shared" si="12"/>
        <v>1</v>
      </c>
      <c r="K80" s="2">
        <f>(J80*$N$3)/$N$2</f>
        <v>3.5433070866141727</v>
      </c>
    </row>
    <row r="81" spans="1:11" x14ac:dyDescent="0.3">
      <c r="A81" t="s">
        <v>15</v>
      </c>
      <c r="B81">
        <v>10</v>
      </c>
      <c r="C81">
        <v>18</v>
      </c>
      <c r="D81">
        <v>0</v>
      </c>
      <c r="E81">
        <v>402573.47265625</v>
      </c>
      <c r="F81">
        <v>1146.8900000000001</v>
      </c>
      <c r="G81" t="s">
        <v>7</v>
      </c>
      <c r="H81">
        <v>10</v>
      </c>
      <c r="I81">
        <f t="shared" si="12"/>
        <v>0</v>
      </c>
      <c r="J81" s="6">
        <f t="shared" si="12"/>
        <v>1</v>
      </c>
      <c r="K81" s="2">
        <f>(J81*$N$3)/$N$2</f>
        <v>3.5433070866141727</v>
      </c>
    </row>
    <row r="82" spans="1:11" x14ac:dyDescent="0.3">
      <c r="A82" t="s">
        <v>15</v>
      </c>
      <c r="B82">
        <v>2001</v>
      </c>
      <c r="C82">
        <v>2</v>
      </c>
      <c r="D82">
        <v>0</v>
      </c>
      <c r="E82">
        <v>0</v>
      </c>
      <c r="F82">
        <v>1161.3499999999999</v>
      </c>
    </row>
    <row r="83" spans="1:11" x14ac:dyDescent="0.3">
      <c r="A83" t="s">
        <v>15</v>
      </c>
      <c r="B83">
        <v>2001</v>
      </c>
      <c r="C83">
        <v>3</v>
      </c>
      <c r="D83">
        <v>0</v>
      </c>
      <c r="E83">
        <v>0</v>
      </c>
      <c r="F83">
        <v>1175.55</v>
      </c>
    </row>
    <row r="84" spans="1:11" x14ac:dyDescent="0.3">
      <c r="A84" t="s">
        <v>15</v>
      </c>
      <c r="B84">
        <v>10</v>
      </c>
      <c r="C84">
        <v>20</v>
      </c>
      <c r="D84">
        <v>1298308.51025391</v>
      </c>
      <c r="E84">
        <v>0</v>
      </c>
      <c r="F84">
        <v>1190.29</v>
      </c>
      <c r="G84" t="s">
        <v>8</v>
      </c>
      <c r="H84">
        <v>10</v>
      </c>
      <c r="I84">
        <f t="shared" ref="I84:J86" si="13">D84/(C84+D84)</f>
        <v>0.99998459557820529</v>
      </c>
      <c r="J84" s="6">
        <f t="shared" si="13"/>
        <v>0</v>
      </c>
      <c r="K84" s="2">
        <f>(J84*$N$3)/$N$2</f>
        <v>0</v>
      </c>
    </row>
    <row r="85" spans="1:11" x14ac:dyDescent="0.3">
      <c r="A85" t="s">
        <v>15</v>
      </c>
      <c r="B85">
        <v>10</v>
      </c>
      <c r="C85">
        <v>22</v>
      </c>
      <c r="D85">
        <v>4475260.88037109</v>
      </c>
      <c r="E85">
        <v>0</v>
      </c>
      <c r="F85">
        <v>1204.98</v>
      </c>
      <c r="G85" t="s">
        <v>8</v>
      </c>
      <c r="H85">
        <v>10</v>
      </c>
      <c r="I85">
        <f t="shared" si="13"/>
        <v>0.99999508410963323</v>
      </c>
      <c r="J85" s="6">
        <f t="shared" si="13"/>
        <v>0</v>
      </c>
      <c r="K85" s="2">
        <f>(J85*$N$3)/$N$2</f>
        <v>0</v>
      </c>
    </row>
    <row r="86" spans="1:11" x14ac:dyDescent="0.3">
      <c r="A86" t="s">
        <v>15</v>
      </c>
      <c r="B86">
        <v>10</v>
      </c>
      <c r="C86">
        <v>24</v>
      </c>
      <c r="D86">
        <v>1475551.3457031299</v>
      </c>
      <c r="E86">
        <v>0</v>
      </c>
      <c r="F86">
        <v>1219.6500000000001</v>
      </c>
      <c r="G86" t="s">
        <v>8</v>
      </c>
      <c r="H86">
        <v>10</v>
      </c>
      <c r="I86">
        <f t="shared" si="13"/>
        <v>0.99998373515790306</v>
      </c>
      <c r="J86" s="6">
        <f t="shared" si="13"/>
        <v>0</v>
      </c>
      <c r="K86" s="2">
        <f>(J86*$N$3)/$N$2</f>
        <v>0</v>
      </c>
    </row>
    <row r="87" spans="1:11" x14ac:dyDescent="0.3">
      <c r="A87" t="s">
        <v>15</v>
      </c>
      <c r="B87">
        <v>2001</v>
      </c>
      <c r="C87">
        <v>2</v>
      </c>
      <c r="D87">
        <v>0</v>
      </c>
      <c r="E87">
        <v>0</v>
      </c>
      <c r="F87">
        <v>1234.0899999999999</v>
      </c>
    </row>
    <row r="88" spans="1:11" x14ac:dyDescent="0.3">
      <c r="A88" t="s">
        <v>15</v>
      </c>
      <c r="B88">
        <v>2001</v>
      </c>
      <c r="C88">
        <v>3</v>
      </c>
      <c r="D88">
        <v>0</v>
      </c>
      <c r="E88">
        <v>0</v>
      </c>
      <c r="F88">
        <v>1248.26</v>
      </c>
    </row>
    <row r="89" spans="1:11" x14ac:dyDescent="0.3">
      <c r="A89" t="s">
        <v>15</v>
      </c>
      <c r="B89">
        <v>2001</v>
      </c>
      <c r="C89">
        <v>2</v>
      </c>
      <c r="D89">
        <v>0</v>
      </c>
      <c r="E89">
        <v>0</v>
      </c>
      <c r="F89">
        <v>1262.69</v>
      </c>
    </row>
    <row r="90" spans="1:11" x14ac:dyDescent="0.3">
      <c r="A90" t="s">
        <v>15</v>
      </c>
      <c r="B90">
        <v>2001</v>
      </c>
      <c r="C90">
        <v>3</v>
      </c>
      <c r="D90">
        <v>0</v>
      </c>
      <c r="E90">
        <v>0</v>
      </c>
      <c r="F90">
        <v>1276.9000000000001</v>
      </c>
    </row>
    <row r="91" spans="1:11" x14ac:dyDescent="0.3">
      <c r="A91" t="s">
        <v>15</v>
      </c>
      <c r="B91">
        <v>9</v>
      </c>
      <c r="C91">
        <v>14</v>
      </c>
      <c r="D91">
        <v>0</v>
      </c>
      <c r="E91">
        <v>379364.41064453102</v>
      </c>
      <c r="F91">
        <v>1291.58</v>
      </c>
      <c r="G91" t="s">
        <v>7</v>
      </c>
      <c r="H91">
        <v>20</v>
      </c>
      <c r="I91">
        <f t="shared" ref="I91:J93" si="14">D91/(C91+D91)</f>
        <v>0</v>
      </c>
      <c r="J91" s="6">
        <f t="shared" si="14"/>
        <v>1</v>
      </c>
      <c r="K91" s="2">
        <f>(J91*$N$3)/$N$2</f>
        <v>3.5433070866141727</v>
      </c>
    </row>
    <row r="92" spans="1:11" x14ac:dyDescent="0.3">
      <c r="A92" t="s">
        <v>15</v>
      </c>
      <c r="B92">
        <v>9</v>
      </c>
      <c r="C92">
        <v>16</v>
      </c>
      <c r="D92">
        <v>0</v>
      </c>
      <c r="E92">
        <v>210941.04296875</v>
      </c>
      <c r="F92">
        <v>1306.28</v>
      </c>
      <c r="G92" t="s">
        <v>7</v>
      </c>
      <c r="H92">
        <v>20</v>
      </c>
      <c r="I92">
        <f t="shared" si="14"/>
        <v>0</v>
      </c>
      <c r="J92" s="6">
        <f t="shared" si="14"/>
        <v>1</v>
      </c>
      <c r="K92" s="2">
        <f>(J92*$N$3)/$N$2</f>
        <v>3.5433070866141727</v>
      </c>
    </row>
    <row r="93" spans="1:11" x14ac:dyDescent="0.3">
      <c r="A93" t="s">
        <v>15</v>
      </c>
      <c r="B93">
        <v>9</v>
      </c>
      <c r="C93">
        <v>18</v>
      </c>
      <c r="D93">
        <v>0</v>
      </c>
      <c r="E93">
        <v>447107.857421875</v>
      </c>
      <c r="F93">
        <v>1321</v>
      </c>
      <c r="G93" t="s">
        <v>7</v>
      </c>
      <c r="H93">
        <v>20</v>
      </c>
      <c r="I93">
        <f t="shared" si="14"/>
        <v>0</v>
      </c>
      <c r="J93" s="6">
        <f t="shared" si="14"/>
        <v>1</v>
      </c>
      <c r="K93" s="2">
        <f>(J93*$N$3)/$N$2</f>
        <v>3.5433070866141727</v>
      </c>
    </row>
    <row r="94" spans="1:11" x14ac:dyDescent="0.3">
      <c r="A94" t="s">
        <v>15</v>
      </c>
      <c r="B94">
        <v>2001</v>
      </c>
      <c r="C94">
        <v>2</v>
      </c>
      <c r="D94">
        <v>0</v>
      </c>
      <c r="E94">
        <v>0</v>
      </c>
      <c r="F94">
        <v>1335.31</v>
      </c>
    </row>
    <row r="95" spans="1:11" x14ac:dyDescent="0.3">
      <c r="A95" t="s">
        <v>15</v>
      </c>
      <c r="B95">
        <v>2001</v>
      </c>
      <c r="C95">
        <v>3</v>
      </c>
      <c r="D95">
        <v>0</v>
      </c>
      <c r="E95">
        <v>0</v>
      </c>
      <c r="F95">
        <v>1349.6</v>
      </c>
    </row>
    <row r="96" spans="1:11" x14ac:dyDescent="0.3">
      <c r="A96" t="s">
        <v>15</v>
      </c>
      <c r="B96">
        <v>9</v>
      </c>
      <c r="C96">
        <v>20</v>
      </c>
      <c r="D96">
        <v>1535671.38916016</v>
      </c>
      <c r="E96">
        <v>0</v>
      </c>
      <c r="F96">
        <v>1364.31</v>
      </c>
      <c r="G96" t="s">
        <v>8</v>
      </c>
      <c r="H96">
        <v>20</v>
      </c>
      <c r="I96">
        <f t="shared" ref="I96:J98" si="15">D96/(C96+D96)</f>
        <v>0.99998697655001445</v>
      </c>
      <c r="J96" s="6">
        <f t="shared" si="15"/>
        <v>0</v>
      </c>
      <c r="K96" s="2">
        <f>(J96*$N$3)/$N$2</f>
        <v>0</v>
      </c>
    </row>
    <row r="97" spans="1:11" x14ac:dyDescent="0.3">
      <c r="A97" t="s">
        <v>15</v>
      </c>
      <c r="B97">
        <v>9</v>
      </c>
      <c r="C97">
        <v>22</v>
      </c>
      <c r="D97">
        <v>705928.47021484398</v>
      </c>
      <c r="E97">
        <v>0</v>
      </c>
      <c r="F97">
        <v>1378.99</v>
      </c>
      <c r="G97" t="s">
        <v>8</v>
      </c>
      <c r="H97">
        <v>20</v>
      </c>
      <c r="I97">
        <f t="shared" si="15"/>
        <v>0.99996883634060996</v>
      </c>
      <c r="J97" s="6">
        <f t="shared" si="15"/>
        <v>0</v>
      </c>
      <c r="K97" s="2">
        <f>(J97*$N$3)/$N$2</f>
        <v>0</v>
      </c>
    </row>
    <row r="98" spans="1:11" x14ac:dyDescent="0.3">
      <c r="A98" t="s">
        <v>15</v>
      </c>
      <c r="B98">
        <v>9</v>
      </c>
      <c r="C98">
        <v>24</v>
      </c>
      <c r="D98">
        <v>907530.78515625</v>
      </c>
      <c r="E98">
        <v>0</v>
      </c>
      <c r="F98">
        <v>1393.66</v>
      </c>
      <c r="G98" t="s">
        <v>8</v>
      </c>
      <c r="H98">
        <v>20</v>
      </c>
      <c r="I98">
        <f t="shared" si="15"/>
        <v>0.99997355531545584</v>
      </c>
      <c r="J98" s="6">
        <f t="shared" si="15"/>
        <v>0</v>
      </c>
      <c r="K98" s="2">
        <f>(J98*$N$3)/$N$2</f>
        <v>0</v>
      </c>
    </row>
    <row r="99" spans="1:11" x14ac:dyDescent="0.3">
      <c r="A99" t="s">
        <v>15</v>
      </c>
      <c r="B99">
        <v>2001</v>
      </c>
      <c r="C99">
        <v>2</v>
      </c>
      <c r="D99">
        <v>0</v>
      </c>
      <c r="E99">
        <v>0</v>
      </c>
      <c r="F99">
        <v>1408.01</v>
      </c>
    </row>
    <row r="100" spans="1:11" x14ac:dyDescent="0.3">
      <c r="A100" t="s">
        <v>15</v>
      </c>
      <c r="B100">
        <v>2001</v>
      </c>
      <c r="C100">
        <v>3</v>
      </c>
      <c r="D100">
        <v>0</v>
      </c>
      <c r="E100">
        <v>0</v>
      </c>
      <c r="F100">
        <v>1422.19</v>
      </c>
    </row>
    <row r="101" spans="1:11" x14ac:dyDescent="0.3">
      <c r="A101" t="s">
        <v>15</v>
      </c>
      <c r="B101">
        <v>2001</v>
      </c>
      <c r="C101">
        <v>2</v>
      </c>
      <c r="D101">
        <v>0</v>
      </c>
      <c r="E101">
        <v>0</v>
      </c>
      <c r="F101">
        <v>1436.66</v>
      </c>
    </row>
    <row r="102" spans="1:11" x14ac:dyDescent="0.3">
      <c r="A102" t="s">
        <v>15</v>
      </c>
      <c r="B102">
        <v>2001</v>
      </c>
      <c r="C102">
        <v>3</v>
      </c>
      <c r="D102">
        <v>0</v>
      </c>
      <c r="E102">
        <v>0</v>
      </c>
      <c r="F102">
        <v>1450.85</v>
      </c>
    </row>
    <row r="103" spans="1:11" x14ac:dyDescent="0.3">
      <c r="A103" t="s">
        <v>15</v>
      </c>
      <c r="B103">
        <v>2001</v>
      </c>
      <c r="C103">
        <v>2</v>
      </c>
      <c r="D103">
        <v>0</v>
      </c>
      <c r="E103">
        <v>0</v>
      </c>
      <c r="F103">
        <v>1465.28</v>
      </c>
    </row>
    <row r="104" spans="1:11" x14ac:dyDescent="0.3">
      <c r="A104" t="s">
        <v>15</v>
      </c>
      <c r="B104">
        <v>2001</v>
      </c>
      <c r="C104">
        <v>3</v>
      </c>
      <c r="D104">
        <v>0</v>
      </c>
      <c r="E104">
        <v>0</v>
      </c>
      <c r="F104">
        <v>1479.46</v>
      </c>
    </row>
    <row r="105" spans="1:11" x14ac:dyDescent="0.3">
      <c r="A105" t="s">
        <v>15</v>
      </c>
      <c r="B105">
        <v>8</v>
      </c>
      <c r="C105">
        <v>14</v>
      </c>
      <c r="D105">
        <v>0</v>
      </c>
      <c r="E105">
        <v>333317.55859375</v>
      </c>
      <c r="F105">
        <v>1494.18</v>
      </c>
      <c r="G105" t="s">
        <v>7</v>
      </c>
      <c r="H105">
        <v>40</v>
      </c>
      <c r="I105">
        <f t="shared" ref="I105:J107" si="16">D105/(C105+D105)</f>
        <v>0</v>
      </c>
      <c r="J105" s="6">
        <f t="shared" si="16"/>
        <v>1</v>
      </c>
      <c r="K105" s="2">
        <f>(J105*$N$3)/$N$2</f>
        <v>3.5433070866141727</v>
      </c>
    </row>
    <row r="106" spans="1:11" x14ac:dyDescent="0.3">
      <c r="A106" t="s">
        <v>15</v>
      </c>
      <c r="B106">
        <v>8</v>
      </c>
      <c r="C106">
        <v>16</v>
      </c>
      <c r="D106">
        <v>0</v>
      </c>
      <c r="E106">
        <v>353388.5078125</v>
      </c>
      <c r="F106">
        <v>1508.9</v>
      </c>
      <c r="G106" t="s">
        <v>7</v>
      </c>
      <c r="H106">
        <v>40</v>
      </c>
      <c r="I106">
        <f t="shared" si="16"/>
        <v>0</v>
      </c>
      <c r="J106" s="6">
        <f t="shared" si="16"/>
        <v>1</v>
      </c>
      <c r="K106" s="2">
        <f>(J106*$N$3)/$N$2</f>
        <v>3.5433070866141727</v>
      </c>
    </row>
    <row r="107" spans="1:11" x14ac:dyDescent="0.3">
      <c r="A107" t="s">
        <v>15</v>
      </c>
      <c r="B107">
        <v>8</v>
      </c>
      <c r="C107">
        <v>18</v>
      </c>
      <c r="D107">
        <v>0</v>
      </c>
      <c r="E107">
        <v>365558.736328125</v>
      </c>
      <c r="F107">
        <v>1523.61</v>
      </c>
      <c r="G107" t="s">
        <v>7</v>
      </c>
      <c r="H107">
        <v>40</v>
      </c>
      <c r="I107">
        <f t="shared" si="16"/>
        <v>0</v>
      </c>
      <c r="J107" s="6">
        <f t="shared" si="16"/>
        <v>1</v>
      </c>
      <c r="K107" s="2">
        <f>(J107*$N$3)/$N$2</f>
        <v>3.5433070866141727</v>
      </c>
    </row>
    <row r="108" spans="1:11" x14ac:dyDescent="0.3">
      <c r="A108" t="s">
        <v>15</v>
      </c>
      <c r="B108">
        <v>2001</v>
      </c>
      <c r="C108">
        <v>2</v>
      </c>
      <c r="D108">
        <v>0</v>
      </c>
      <c r="E108">
        <v>0</v>
      </c>
      <c r="F108">
        <v>1537.92</v>
      </c>
    </row>
    <row r="109" spans="1:11" x14ac:dyDescent="0.3">
      <c r="A109" t="s">
        <v>15</v>
      </c>
      <c r="B109">
        <v>2001</v>
      </c>
      <c r="C109">
        <v>3</v>
      </c>
      <c r="D109">
        <v>0</v>
      </c>
      <c r="E109">
        <v>0</v>
      </c>
      <c r="F109">
        <v>1552.19</v>
      </c>
    </row>
    <row r="110" spans="1:11" x14ac:dyDescent="0.3">
      <c r="A110" t="s">
        <v>15</v>
      </c>
      <c r="B110">
        <v>2001</v>
      </c>
      <c r="C110">
        <v>2</v>
      </c>
      <c r="D110">
        <v>0</v>
      </c>
      <c r="E110">
        <v>0</v>
      </c>
      <c r="F110">
        <v>1566.62</v>
      </c>
    </row>
    <row r="111" spans="1:11" x14ac:dyDescent="0.3">
      <c r="A111" t="s">
        <v>15</v>
      </c>
      <c r="B111">
        <v>2001</v>
      </c>
      <c r="C111">
        <v>3</v>
      </c>
      <c r="D111">
        <v>0</v>
      </c>
      <c r="E111">
        <v>0</v>
      </c>
      <c r="F111">
        <v>1580.28</v>
      </c>
    </row>
    <row r="112" spans="1:11" x14ac:dyDescent="0.3">
      <c r="A112" t="s">
        <v>15</v>
      </c>
      <c r="B112">
        <v>8</v>
      </c>
      <c r="C112">
        <v>20</v>
      </c>
      <c r="D112">
        <v>1056750.2216796901</v>
      </c>
      <c r="E112">
        <v>0</v>
      </c>
      <c r="F112">
        <v>1595.01</v>
      </c>
      <c r="G112" t="s">
        <v>8</v>
      </c>
      <c r="H112">
        <v>40</v>
      </c>
      <c r="I112">
        <f t="shared" ref="I112:J114" si="17">D112/(C112+D112)</f>
        <v>0.99998107440994299</v>
      </c>
      <c r="J112" s="6">
        <f t="shared" si="17"/>
        <v>0</v>
      </c>
      <c r="K112" s="2">
        <f>(J112*$N$3)/$N$2</f>
        <v>0</v>
      </c>
    </row>
    <row r="113" spans="1:11" x14ac:dyDescent="0.3">
      <c r="A113" t="s">
        <v>15</v>
      </c>
      <c r="B113">
        <v>8</v>
      </c>
      <c r="C113">
        <v>22</v>
      </c>
      <c r="D113">
        <v>1145194.4033203099</v>
      </c>
      <c r="E113">
        <v>0</v>
      </c>
      <c r="F113">
        <v>1609.73</v>
      </c>
      <c r="G113" t="s">
        <v>8</v>
      </c>
      <c r="H113">
        <v>40</v>
      </c>
      <c r="I113">
        <f t="shared" si="17"/>
        <v>0.99998078965692749</v>
      </c>
      <c r="J113" s="6">
        <f t="shared" si="17"/>
        <v>0</v>
      </c>
      <c r="K113" s="2">
        <f>(J113*$N$3)/$N$2</f>
        <v>0</v>
      </c>
    </row>
    <row r="114" spans="1:11" x14ac:dyDescent="0.3">
      <c r="A114" t="s">
        <v>15</v>
      </c>
      <c r="B114">
        <v>8</v>
      </c>
      <c r="C114">
        <v>24</v>
      </c>
      <c r="D114">
        <v>954979.01660156297</v>
      </c>
      <c r="E114">
        <v>0</v>
      </c>
      <c r="F114">
        <v>1624.53</v>
      </c>
      <c r="G114" t="s">
        <v>8</v>
      </c>
      <c r="H114">
        <v>40</v>
      </c>
      <c r="I114">
        <f t="shared" si="17"/>
        <v>0.99997486918932943</v>
      </c>
      <c r="J114" s="6">
        <f t="shared" si="17"/>
        <v>0</v>
      </c>
      <c r="K114" s="2">
        <f>(J114*$N$3)/$N$2</f>
        <v>0</v>
      </c>
    </row>
    <row r="115" spans="1:11" x14ac:dyDescent="0.3">
      <c r="A115" t="s">
        <v>15</v>
      </c>
      <c r="B115">
        <v>2001</v>
      </c>
      <c r="C115">
        <v>2</v>
      </c>
      <c r="D115">
        <v>0</v>
      </c>
      <c r="E115">
        <v>0</v>
      </c>
      <c r="F115">
        <v>1638.82</v>
      </c>
    </row>
    <row r="116" spans="1:11" x14ac:dyDescent="0.3">
      <c r="A116" t="s">
        <v>15</v>
      </c>
      <c r="B116">
        <v>2001</v>
      </c>
      <c r="C116">
        <v>3</v>
      </c>
      <c r="D116">
        <v>0</v>
      </c>
      <c r="E116">
        <v>0</v>
      </c>
      <c r="F116">
        <v>1653.11</v>
      </c>
    </row>
    <row r="117" spans="1:11" x14ac:dyDescent="0.3">
      <c r="A117" t="s">
        <v>15</v>
      </c>
      <c r="B117">
        <v>2001</v>
      </c>
      <c r="C117">
        <v>2</v>
      </c>
      <c r="D117">
        <v>0</v>
      </c>
      <c r="E117">
        <v>0</v>
      </c>
      <c r="F117">
        <v>1667.46</v>
      </c>
    </row>
    <row r="118" spans="1:11" x14ac:dyDescent="0.3">
      <c r="A118" t="s">
        <v>15</v>
      </c>
      <c r="B118">
        <v>2001</v>
      </c>
      <c r="C118">
        <v>3</v>
      </c>
      <c r="D118">
        <v>0</v>
      </c>
      <c r="E118">
        <v>0</v>
      </c>
      <c r="F118">
        <v>1681.69</v>
      </c>
    </row>
    <row r="119" spans="1:11" x14ac:dyDescent="0.3">
      <c r="A119" t="s">
        <v>15</v>
      </c>
      <c r="B119">
        <v>7</v>
      </c>
      <c r="C119">
        <v>14</v>
      </c>
      <c r="D119">
        <v>0</v>
      </c>
      <c r="E119">
        <v>358240.89013671898</v>
      </c>
      <c r="F119">
        <v>1696.38</v>
      </c>
      <c r="G119" t="s">
        <v>7</v>
      </c>
      <c r="H119">
        <v>60</v>
      </c>
      <c r="I119">
        <f t="shared" ref="I119:J121" si="18">D119/(C119+D119)</f>
        <v>0</v>
      </c>
      <c r="J119" s="6">
        <f t="shared" si="18"/>
        <v>1</v>
      </c>
      <c r="K119" s="2">
        <f>(J119*$N$3)/$N$2</f>
        <v>3.5433070866141727</v>
      </c>
    </row>
    <row r="120" spans="1:11" x14ac:dyDescent="0.3">
      <c r="A120" t="s">
        <v>15</v>
      </c>
      <c r="B120">
        <v>7</v>
      </c>
      <c r="C120">
        <v>16</v>
      </c>
      <c r="D120">
        <v>0</v>
      </c>
      <c r="E120">
        <v>346468.29248046898</v>
      </c>
      <c r="F120">
        <v>1711.04</v>
      </c>
      <c r="G120" t="s">
        <v>7</v>
      </c>
      <c r="H120">
        <v>60</v>
      </c>
      <c r="I120">
        <f t="shared" si="18"/>
        <v>0</v>
      </c>
      <c r="J120" s="6">
        <f t="shared" si="18"/>
        <v>1</v>
      </c>
      <c r="K120" s="2">
        <f>(J120*$N$3)/$N$2</f>
        <v>3.5433070866141727</v>
      </c>
    </row>
    <row r="121" spans="1:11" x14ac:dyDescent="0.3">
      <c r="A121" t="s">
        <v>15</v>
      </c>
      <c r="B121">
        <v>7</v>
      </c>
      <c r="C121">
        <v>18</v>
      </c>
      <c r="D121">
        <v>0</v>
      </c>
      <c r="E121">
        <v>404681.34277343802</v>
      </c>
      <c r="F121">
        <v>1725.74</v>
      </c>
      <c r="G121" t="s">
        <v>7</v>
      </c>
      <c r="H121">
        <v>60</v>
      </c>
      <c r="I121">
        <f t="shared" si="18"/>
        <v>0</v>
      </c>
      <c r="J121" s="6">
        <f t="shared" si="18"/>
        <v>1</v>
      </c>
      <c r="K121" s="2">
        <f>(J121*$N$3)/$N$2</f>
        <v>3.5433070866141727</v>
      </c>
    </row>
    <row r="122" spans="1:11" x14ac:dyDescent="0.3">
      <c r="A122" t="s">
        <v>15</v>
      </c>
      <c r="B122">
        <v>2001</v>
      </c>
      <c r="C122">
        <v>2</v>
      </c>
      <c r="D122">
        <v>0</v>
      </c>
      <c r="E122">
        <v>0</v>
      </c>
      <c r="F122">
        <v>1740.17</v>
      </c>
    </row>
    <row r="123" spans="1:11" x14ac:dyDescent="0.3">
      <c r="A123" t="s">
        <v>15</v>
      </c>
      <c r="B123">
        <v>2001</v>
      </c>
      <c r="C123">
        <v>3</v>
      </c>
      <c r="D123">
        <v>0</v>
      </c>
      <c r="E123">
        <v>0</v>
      </c>
      <c r="F123">
        <v>1754.36</v>
      </c>
    </row>
    <row r="124" spans="1:11" x14ac:dyDescent="0.3">
      <c r="A124" t="s">
        <v>15</v>
      </c>
      <c r="B124">
        <v>2001</v>
      </c>
      <c r="C124">
        <v>2</v>
      </c>
      <c r="D124">
        <v>0</v>
      </c>
      <c r="E124">
        <v>0</v>
      </c>
      <c r="F124">
        <v>1768.71</v>
      </c>
    </row>
    <row r="125" spans="1:11" x14ac:dyDescent="0.3">
      <c r="A125" t="s">
        <v>15</v>
      </c>
      <c r="B125">
        <v>2001</v>
      </c>
      <c r="C125">
        <v>3</v>
      </c>
      <c r="D125">
        <v>0</v>
      </c>
      <c r="E125">
        <v>0</v>
      </c>
      <c r="F125">
        <v>1783</v>
      </c>
    </row>
    <row r="126" spans="1:11" x14ac:dyDescent="0.3">
      <c r="A126" t="s">
        <v>15</v>
      </c>
      <c r="B126">
        <v>7</v>
      </c>
      <c r="C126">
        <v>20</v>
      </c>
      <c r="D126">
        <v>770247.8203125</v>
      </c>
      <c r="E126">
        <v>0</v>
      </c>
      <c r="F126">
        <v>1797.68</v>
      </c>
      <c r="G126" t="s">
        <v>8</v>
      </c>
      <c r="H126">
        <v>60</v>
      </c>
      <c r="I126">
        <f t="shared" ref="I126:J128" si="19">D126/(C126+D126)</f>
        <v>0.99997403500513382</v>
      </c>
      <c r="J126" s="6">
        <f t="shared" si="19"/>
        <v>0</v>
      </c>
      <c r="K126" s="2">
        <f>(J126*$N$3)/$N$2</f>
        <v>0</v>
      </c>
    </row>
    <row r="127" spans="1:11" x14ac:dyDescent="0.3">
      <c r="A127" t="s">
        <v>15</v>
      </c>
      <c r="B127">
        <v>7</v>
      </c>
      <c r="C127">
        <v>22</v>
      </c>
      <c r="D127">
        <v>812326.17871093797</v>
      </c>
      <c r="E127">
        <v>0</v>
      </c>
      <c r="F127">
        <v>1812.33</v>
      </c>
      <c r="G127" t="s">
        <v>8</v>
      </c>
      <c r="H127">
        <v>60</v>
      </c>
      <c r="I127">
        <f t="shared" si="19"/>
        <v>0.99997291801646571</v>
      </c>
      <c r="J127" s="6">
        <f t="shared" si="19"/>
        <v>0</v>
      </c>
      <c r="K127" s="2">
        <f>(J127*$N$3)/$N$2</f>
        <v>0</v>
      </c>
    </row>
    <row r="128" spans="1:11" x14ac:dyDescent="0.3">
      <c r="A128" t="s">
        <v>15</v>
      </c>
      <c r="B128">
        <v>7</v>
      </c>
      <c r="C128">
        <v>24</v>
      </c>
      <c r="D128">
        <v>780130.67578125</v>
      </c>
      <c r="E128">
        <v>0</v>
      </c>
      <c r="F128">
        <v>1827.02</v>
      </c>
      <c r="G128" t="s">
        <v>8</v>
      </c>
      <c r="H128">
        <v>60</v>
      </c>
      <c r="I128">
        <f t="shared" si="19"/>
        <v>0.9999692368696298</v>
      </c>
      <c r="J128" s="6">
        <f t="shared" si="19"/>
        <v>0</v>
      </c>
      <c r="K128" s="2">
        <f>(J128*$N$3)/$N$2</f>
        <v>0</v>
      </c>
    </row>
    <row r="129" spans="1:11" x14ac:dyDescent="0.3">
      <c r="A129" t="s">
        <v>15</v>
      </c>
      <c r="B129">
        <v>2001</v>
      </c>
      <c r="C129">
        <v>2</v>
      </c>
      <c r="D129">
        <v>0</v>
      </c>
      <c r="E129">
        <v>0</v>
      </c>
      <c r="F129">
        <v>1841.51</v>
      </c>
    </row>
    <row r="130" spans="1:11" x14ac:dyDescent="0.3">
      <c r="A130" t="s">
        <v>15</v>
      </c>
      <c r="B130">
        <v>2001</v>
      </c>
      <c r="C130">
        <v>3</v>
      </c>
      <c r="D130">
        <v>0</v>
      </c>
      <c r="E130">
        <v>0</v>
      </c>
      <c r="F130">
        <v>1855.68</v>
      </c>
    </row>
    <row r="131" spans="1:11" x14ac:dyDescent="0.3">
      <c r="A131" t="s">
        <v>15</v>
      </c>
      <c r="B131">
        <v>2001</v>
      </c>
      <c r="C131">
        <v>2</v>
      </c>
      <c r="D131">
        <v>0</v>
      </c>
      <c r="E131">
        <v>0</v>
      </c>
      <c r="F131">
        <v>1869.98</v>
      </c>
    </row>
    <row r="132" spans="1:11" x14ac:dyDescent="0.3">
      <c r="A132" t="s">
        <v>15</v>
      </c>
      <c r="B132">
        <v>2001</v>
      </c>
      <c r="C132">
        <v>3</v>
      </c>
      <c r="D132">
        <v>0</v>
      </c>
      <c r="E132">
        <v>0</v>
      </c>
      <c r="F132">
        <v>1884.29</v>
      </c>
    </row>
    <row r="133" spans="1:11" x14ac:dyDescent="0.3">
      <c r="A133" t="s">
        <v>15</v>
      </c>
      <c r="B133">
        <v>6</v>
      </c>
      <c r="C133">
        <v>14</v>
      </c>
      <c r="D133">
        <v>0</v>
      </c>
      <c r="E133">
        <v>705317.5</v>
      </c>
      <c r="F133">
        <v>1898.86</v>
      </c>
      <c r="G133" t="s">
        <v>7</v>
      </c>
      <c r="H133">
        <v>300</v>
      </c>
      <c r="I133">
        <f t="shared" ref="I133:J135" si="20">D133/(C133+D133)</f>
        <v>0</v>
      </c>
      <c r="J133" s="6">
        <f t="shared" si="20"/>
        <v>1</v>
      </c>
      <c r="K133" s="2">
        <f>(J133*$N$3)/$N$2</f>
        <v>3.5433070866141727</v>
      </c>
    </row>
    <row r="134" spans="1:11" x14ac:dyDescent="0.3">
      <c r="A134" t="s">
        <v>15</v>
      </c>
      <c r="B134">
        <v>6</v>
      </c>
      <c r="C134">
        <v>16</v>
      </c>
      <c r="D134">
        <v>0</v>
      </c>
      <c r="E134">
        <v>692315.42431640602</v>
      </c>
      <c r="F134">
        <v>1913.55</v>
      </c>
      <c r="G134" t="s">
        <v>7</v>
      </c>
      <c r="H134">
        <v>300</v>
      </c>
      <c r="I134">
        <f t="shared" si="20"/>
        <v>0</v>
      </c>
      <c r="J134" s="6">
        <f t="shared" si="20"/>
        <v>1</v>
      </c>
      <c r="K134" s="2">
        <f>(J134*$N$3)/$N$2</f>
        <v>3.5433070866141727</v>
      </c>
    </row>
    <row r="135" spans="1:11" x14ac:dyDescent="0.3">
      <c r="A135" t="s">
        <v>15</v>
      </c>
      <c r="B135">
        <v>6</v>
      </c>
      <c r="C135">
        <v>18</v>
      </c>
      <c r="D135">
        <v>0</v>
      </c>
      <c r="E135">
        <v>438244.638671875</v>
      </c>
      <c r="F135">
        <v>1928.24</v>
      </c>
      <c r="G135" t="s">
        <v>7</v>
      </c>
      <c r="H135">
        <v>300</v>
      </c>
      <c r="I135">
        <f t="shared" si="20"/>
        <v>0</v>
      </c>
      <c r="J135" s="6">
        <f t="shared" si="20"/>
        <v>1</v>
      </c>
      <c r="K135" s="2">
        <f>(J135*$N$3)/$N$2</f>
        <v>3.5433070866141727</v>
      </c>
    </row>
    <row r="136" spans="1:11" x14ac:dyDescent="0.3">
      <c r="A136" t="s">
        <v>15</v>
      </c>
      <c r="B136">
        <v>2001</v>
      </c>
      <c r="C136">
        <v>2</v>
      </c>
      <c r="D136">
        <v>0</v>
      </c>
      <c r="E136">
        <v>0</v>
      </c>
      <c r="F136">
        <v>1942.69</v>
      </c>
    </row>
    <row r="137" spans="1:11" x14ac:dyDescent="0.3">
      <c r="A137" t="s">
        <v>15</v>
      </c>
      <c r="B137">
        <v>2001</v>
      </c>
      <c r="C137">
        <v>3</v>
      </c>
      <c r="D137">
        <v>0</v>
      </c>
      <c r="E137">
        <v>0</v>
      </c>
      <c r="F137">
        <v>1956.85</v>
      </c>
    </row>
    <row r="138" spans="1:11" x14ac:dyDescent="0.3">
      <c r="A138" t="s">
        <v>15</v>
      </c>
      <c r="B138">
        <v>2001</v>
      </c>
      <c r="C138">
        <v>2</v>
      </c>
      <c r="D138">
        <v>0</v>
      </c>
      <c r="E138">
        <v>0</v>
      </c>
      <c r="F138">
        <v>1971.37</v>
      </c>
    </row>
    <row r="139" spans="1:11" x14ac:dyDescent="0.3">
      <c r="A139" t="s">
        <v>15</v>
      </c>
      <c r="B139">
        <v>2001</v>
      </c>
      <c r="C139">
        <v>3</v>
      </c>
      <c r="D139">
        <v>0</v>
      </c>
      <c r="E139">
        <v>0</v>
      </c>
      <c r="F139">
        <v>1985.57</v>
      </c>
    </row>
    <row r="140" spans="1:11" x14ac:dyDescent="0.3">
      <c r="A140" t="s">
        <v>15</v>
      </c>
      <c r="B140">
        <v>6</v>
      </c>
      <c r="C140">
        <v>20</v>
      </c>
      <c r="D140">
        <v>763958.09765625</v>
      </c>
      <c r="E140">
        <v>0</v>
      </c>
      <c r="F140">
        <v>2000.18</v>
      </c>
      <c r="G140" t="s">
        <v>8</v>
      </c>
      <c r="H140">
        <v>300</v>
      </c>
      <c r="I140">
        <f t="shared" ref="I140:J142" si="21">D140/(C140+D140)</f>
        <v>0.99997382123903633</v>
      </c>
      <c r="J140" s="6">
        <f t="shared" si="21"/>
        <v>0</v>
      </c>
      <c r="K140" s="2">
        <f>(J140*$N$3)/$N$2</f>
        <v>0</v>
      </c>
    </row>
    <row r="141" spans="1:11" x14ac:dyDescent="0.3">
      <c r="A141" t="s">
        <v>15</v>
      </c>
      <c r="B141">
        <v>6</v>
      </c>
      <c r="C141">
        <v>22</v>
      </c>
      <c r="D141">
        <v>0</v>
      </c>
      <c r="E141">
        <v>0</v>
      </c>
      <c r="F141">
        <v>2014.89</v>
      </c>
      <c r="G141" t="s">
        <v>8</v>
      </c>
      <c r="H141">
        <v>300</v>
      </c>
      <c r="I141">
        <f t="shared" si="21"/>
        <v>0</v>
      </c>
      <c r="J141" s="6" t="e">
        <f t="shared" si="21"/>
        <v>#DIV/0!</v>
      </c>
      <c r="K141" s="2" t="e">
        <f>(J141*$N$3)/$N$2</f>
        <v>#DIV/0!</v>
      </c>
    </row>
    <row r="142" spans="1:11" x14ac:dyDescent="0.3">
      <c r="A142" t="s">
        <v>15</v>
      </c>
      <c r="B142">
        <v>6</v>
      </c>
      <c r="C142">
        <v>24</v>
      </c>
      <c r="D142">
        <v>4689172.2255859403</v>
      </c>
      <c r="E142">
        <v>114663.33984375</v>
      </c>
      <c r="F142">
        <v>2029.55</v>
      </c>
      <c r="G142" t="s">
        <v>8</v>
      </c>
      <c r="H142">
        <v>300</v>
      </c>
      <c r="I142">
        <f t="shared" si="21"/>
        <v>0.99999488185206042</v>
      </c>
      <c r="J142" s="6">
        <f t="shared" si="21"/>
        <v>2.3869122554675468E-2</v>
      </c>
      <c r="K142" s="2">
        <f>(J142*$N$3)/$N$2</f>
        <v>8.4575631099243778E-2</v>
      </c>
    </row>
    <row r="143" spans="1:11" x14ac:dyDescent="0.3">
      <c r="A143" t="s">
        <v>15</v>
      </c>
      <c r="B143">
        <v>2001</v>
      </c>
      <c r="C143">
        <v>2</v>
      </c>
      <c r="D143">
        <v>0</v>
      </c>
      <c r="E143">
        <v>0</v>
      </c>
      <c r="F143">
        <v>2043.93</v>
      </c>
    </row>
    <row r="144" spans="1:11" x14ac:dyDescent="0.3">
      <c r="A144" t="s">
        <v>15</v>
      </c>
      <c r="B144">
        <v>2001</v>
      </c>
      <c r="C144">
        <v>3</v>
      </c>
      <c r="D144">
        <v>0</v>
      </c>
      <c r="E144">
        <v>0</v>
      </c>
      <c r="F144">
        <v>2058.12</v>
      </c>
    </row>
    <row r="145" spans="1:6" x14ac:dyDescent="0.3">
      <c r="A145" t="s">
        <v>15</v>
      </c>
      <c r="B145">
        <v>2001</v>
      </c>
      <c r="C145">
        <v>2</v>
      </c>
      <c r="D145">
        <v>0</v>
      </c>
      <c r="E145">
        <v>0</v>
      </c>
      <c r="F145">
        <v>2072.5700000000002</v>
      </c>
    </row>
    <row r="146" spans="1:6" x14ac:dyDescent="0.3">
      <c r="A146" t="s">
        <v>15</v>
      </c>
      <c r="B146">
        <v>2001</v>
      </c>
      <c r="C146">
        <v>3</v>
      </c>
      <c r="D146">
        <v>0</v>
      </c>
      <c r="E146">
        <v>0</v>
      </c>
      <c r="F146">
        <v>2086.7199999999998</v>
      </c>
    </row>
    <row r="147" spans="1:6" x14ac:dyDescent="0.3">
      <c r="A147" t="s">
        <v>15</v>
      </c>
      <c r="B147">
        <v>2001</v>
      </c>
      <c r="C147">
        <v>2</v>
      </c>
      <c r="D147">
        <v>0</v>
      </c>
      <c r="E147">
        <v>0</v>
      </c>
      <c r="F147">
        <v>2101.17</v>
      </c>
    </row>
    <row r="148" spans="1:6" x14ac:dyDescent="0.3">
      <c r="A148" t="s">
        <v>15</v>
      </c>
      <c r="B148">
        <v>2001</v>
      </c>
      <c r="C148">
        <v>3</v>
      </c>
      <c r="D148">
        <v>0</v>
      </c>
      <c r="E148">
        <v>0</v>
      </c>
      <c r="F148">
        <v>2115.3200000000002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Pp_Sml</vt:lpstr>
      <vt:lpstr>Pp_Lrg</vt:lpstr>
      <vt:lpstr>Pu</vt:lpstr>
      <vt:lpstr>Gc</vt:lpstr>
      <vt:lpstr>Fs_Sml</vt:lpstr>
      <vt:lpstr>Fs_Lrg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Coffee Wren</dc:creator>
  <cp:lastModifiedBy>Oliver Eyre</cp:lastModifiedBy>
  <dcterms:created xsi:type="dcterms:W3CDTF">2015-06-05T18:17:20Z</dcterms:created>
  <dcterms:modified xsi:type="dcterms:W3CDTF">2026-05-09T22:24:16Z</dcterms:modified>
</cp:coreProperties>
</file>