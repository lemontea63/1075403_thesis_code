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Data/RT-qPCR/"/>
    </mc:Choice>
  </mc:AlternateContent>
  <xr:revisionPtr revIDLastSave="39" documentId="8_{702E7F20-938F-46BA-9401-AA39AE2AA7A7}" xr6:coauthVersionLast="47" xr6:coauthVersionMax="47" xr10:uidLastSave="{787D8E71-E342-415E-90AA-28E97F6C61B8}"/>
  <bookViews>
    <workbookView xWindow="-108" yWindow="-108" windowWidth="23256" windowHeight="13896" activeTab="3" xr2:uid="{EC917D48-350F-443D-92B6-0222C828BEA3}"/>
  </bookViews>
  <sheets>
    <sheet name="Sample_Formulae" sheetId="1" r:id="rId1"/>
    <sheet name="Unordered" sheetId="3" r:id="rId2"/>
    <sheet name="Ordered" sheetId="2" r:id="rId3"/>
    <sheet name="40s_rmvd" sheetId="6" r:id="rId4"/>
    <sheet name="No_blank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3" i="6" l="1"/>
  <c r="P13" i="6"/>
  <c r="P3" i="6"/>
  <c r="O3" i="6"/>
  <c r="K8" i="6"/>
  <c r="K39" i="6"/>
  <c r="J39" i="6"/>
  <c r="L39" i="6" s="1"/>
  <c r="M39" i="6" s="1"/>
  <c r="E39" i="6"/>
  <c r="D39" i="6"/>
  <c r="K38" i="6"/>
  <c r="J38" i="6"/>
  <c r="L38" i="6" s="1"/>
  <c r="M38" i="6" s="1"/>
  <c r="N38" i="6" s="1"/>
  <c r="E38" i="6"/>
  <c r="D38" i="6"/>
  <c r="E37" i="6"/>
  <c r="D37" i="6"/>
  <c r="K36" i="6"/>
  <c r="J36" i="6"/>
  <c r="L36" i="6" s="1"/>
  <c r="M36" i="6" s="1"/>
  <c r="E36" i="6"/>
  <c r="D36" i="6"/>
  <c r="K35" i="6"/>
  <c r="J35" i="6"/>
  <c r="L35" i="6" s="1"/>
  <c r="M35" i="6" s="1"/>
  <c r="N35" i="6" s="1"/>
  <c r="E35" i="6"/>
  <c r="D35" i="6"/>
  <c r="L34" i="6"/>
  <c r="M34" i="6" s="1"/>
  <c r="N34" i="6" s="1"/>
  <c r="K34" i="6"/>
  <c r="J34" i="6"/>
  <c r="E34" i="6"/>
  <c r="D34" i="6"/>
  <c r="K33" i="6"/>
  <c r="J33" i="6"/>
  <c r="L33" i="6" s="1"/>
  <c r="M33" i="6" s="1"/>
  <c r="N33" i="6" s="1"/>
  <c r="E33" i="6"/>
  <c r="D33" i="6"/>
  <c r="L32" i="6"/>
  <c r="M32" i="6" s="1"/>
  <c r="N32" i="6" s="1"/>
  <c r="K32" i="6"/>
  <c r="J32" i="6"/>
  <c r="E32" i="6"/>
  <c r="D32" i="6"/>
  <c r="K31" i="6"/>
  <c r="J31" i="6"/>
  <c r="L31" i="6" s="1"/>
  <c r="M31" i="6" s="1"/>
  <c r="N31" i="6" s="1"/>
  <c r="E31" i="6"/>
  <c r="D31" i="6"/>
  <c r="E30" i="6"/>
  <c r="D30" i="6"/>
  <c r="L29" i="6"/>
  <c r="M29" i="6" s="1"/>
  <c r="N29" i="6" s="1"/>
  <c r="K29" i="6"/>
  <c r="J29" i="6"/>
  <c r="E29" i="6"/>
  <c r="D29" i="6"/>
  <c r="K28" i="6"/>
  <c r="J28" i="6"/>
  <c r="L28" i="6" s="1"/>
  <c r="M28" i="6" s="1"/>
  <c r="N28" i="6" s="1"/>
  <c r="E28" i="6"/>
  <c r="D28" i="6"/>
  <c r="L27" i="6"/>
  <c r="M27" i="6" s="1"/>
  <c r="N27" i="6" s="1"/>
  <c r="K27" i="6"/>
  <c r="J27" i="6"/>
  <c r="E27" i="6"/>
  <c r="D27" i="6"/>
  <c r="E26" i="6"/>
  <c r="D26" i="6"/>
  <c r="K25" i="6"/>
  <c r="J25" i="6"/>
  <c r="L25" i="6" s="1"/>
  <c r="M25" i="6" s="1"/>
  <c r="N25" i="6" s="1"/>
  <c r="E25" i="6"/>
  <c r="D25" i="6"/>
  <c r="L24" i="6"/>
  <c r="M24" i="6" s="1"/>
  <c r="N24" i="6" s="1"/>
  <c r="K24" i="6"/>
  <c r="J24" i="6"/>
  <c r="E24" i="6"/>
  <c r="D24" i="6"/>
  <c r="K23" i="6"/>
  <c r="J23" i="6"/>
  <c r="L23" i="6" s="1"/>
  <c r="E23" i="6"/>
  <c r="D23" i="6"/>
  <c r="E22" i="6"/>
  <c r="D22" i="6"/>
  <c r="K21" i="6"/>
  <c r="J21" i="6"/>
  <c r="L21" i="6" s="1"/>
  <c r="M21" i="6" s="1"/>
  <c r="N21" i="6" s="1"/>
  <c r="E21" i="6"/>
  <c r="D21" i="6"/>
  <c r="E20" i="6"/>
  <c r="D20" i="6"/>
  <c r="K19" i="6"/>
  <c r="J19" i="6"/>
  <c r="L19" i="6" s="1"/>
  <c r="M19" i="6" s="1"/>
  <c r="N19" i="6" s="1"/>
  <c r="E19" i="6"/>
  <c r="D19" i="6"/>
  <c r="L18" i="6"/>
  <c r="M18" i="6" s="1"/>
  <c r="N18" i="6" s="1"/>
  <c r="K18" i="6"/>
  <c r="J18" i="6"/>
  <c r="E18" i="6"/>
  <c r="D18" i="6"/>
  <c r="K17" i="6"/>
  <c r="J17" i="6"/>
  <c r="L17" i="6" s="1"/>
  <c r="M17" i="6" s="1"/>
  <c r="N17" i="6" s="1"/>
  <c r="E17" i="6"/>
  <c r="D17" i="6"/>
  <c r="K16" i="6"/>
  <c r="J16" i="6"/>
  <c r="L16" i="6" s="1"/>
  <c r="M16" i="6" s="1"/>
  <c r="N16" i="6" s="1"/>
  <c r="E16" i="6"/>
  <c r="D16" i="6"/>
  <c r="K15" i="6"/>
  <c r="J15" i="6"/>
  <c r="L15" i="6" s="1"/>
  <c r="M15" i="6" s="1"/>
  <c r="N15" i="6" s="1"/>
  <c r="E15" i="6"/>
  <c r="D15" i="6"/>
  <c r="K14" i="6"/>
  <c r="J14" i="6"/>
  <c r="L14" i="6" s="1"/>
  <c r="E14" i="6"/>
  <c r="D14" i="6"/>
  <c r="K13" i="6"/>
  <c r="J13" i="6"/>
  <c r="E13" i="6"/>
  <c r="D13" i="6"/>
  <c r="L13" i="6" s="1"/>
  <c r="M13" i="6" s="1"/>
  <c r="N13" i="6" s="1"/>
  <c r="K12" i="6"/>
  <c r="J12" i="6"/>
  <c r="L12" i="6" s="1"/>
  <c r="M12" i="6" s="1"/>
  <c r="N12" i="6" s="1"/>
  <c r="E12" i="6"/>
  <c r="D12" i="6"/>
  <c r="E11" i="6"/>
  <c r="D11" i="6"/>
  <c r="K10" i="6"/>
  <c r="J10" i="6"/>
  <c r="E10" i="6"/>
  <c r="D10" i="6"/>
  <c r="L10" i="6" s="1"/>
  <c r="M10" i="6" s="1"/>
  <c r="N10" i="6" s="1"/>
  <c r="K9" i="6"/>
  <c r="J9" i="6"/>
  <c r="L9" i="6" s="1"/>
  <c r="E9" i="6"/>
  <c r="D9" i="6"/>
  <c r="J8" i="6"/>
  <c r="L8" i="6" s="1"/>
  <c r="M8" i="6" s="1"/>
  <c r="N8" i="6" s="1"/>
  <c r="E8" i="6"/>
  <c r="D8" i="6"/>
  <c r="E7" i="6"/>
  <c r="D7" i="6"/>
  <c r="K6" i="6"/>
  <c r="J6" i="6"/>
  <c r="L6" i="6" s="1"/>
  <c r="M6" i="6" s="1"/>
  <c r="N6" i="6" s="1"/>
  <c r="E6" i="6"/>
  <c r="D6" i="6"/>
  <c r="K5" i="6"/>
  <c r="J5" i="6"/>
  <c r="L5" i="6" s="1"/>
  <c r="M5" i="6" s="1"/>
  <c r="N5" i="6" s="1"/>
  <c r="E5" i="6"/>
  <c r="D5" i="6"/>
  <c r="K4" i="6"/>
  <c r="J4" i="6"/>
  <c r="L4" i="6" s="1"/>
  <c r="M4" i="6" s="1"/>
  <c r="N4" i="6" s="1"/>
  <c r="E4" i="6"/>
  <c r="D4" i="6"/>
  <c r="K3" i="6"/>
  <c r="J3" i="6"/>
  <c r="L3" i="6" s="1"/>
  <c r="M3" i="6" s="1"/>
  <c r="N3" i="6" s="1"/>
  <c r="E3" i="6"/>
  <c r="D3" i="6"/>
  <c r="N31" i="2"/>
  <c r="O18" i="2"/>
  <c r="P18" i="2"/>
  <c r="P22" i="2"/>
  <c r="O22" i="2"/>
  <c r="P27" i="2"/>
  <c r="O27" i="2"/>
  <c r="M8" i="2"/>
  <c r="M10" i="2"/>
  <c r="M12" i="2"/>
  <c r="M13" i="2"/>
  <c r="M14" i="2"/>
  <c r="M15" i="2"/>
  <c r="M16" i="2"/>
  <c r="M17" i="2"/>
  <c r="M18" i="2"/>
  <c r="M19" i="2"/>
  <c r="M21" i="2"/>
  <c r="N21" i="2" s="1"/>
  <c r="M23" i="2"/>
  <c r="M24" i="2"/>
  <c r="M25" i="2"/>
  <c r="M27" i="2"/>
  <c r="N27" i="2" s="1"/>
  <c r="M28" i="2"/>
  <c r="M29" i="2"/>
  <c r="M31" i="2"/>
  <c r="M32" i="2"/>
  <c r="N32" i="2" s="1"/>
  <c r="M33" i="2"/>
  <c r="N33" i="2" s="1"/>
  <c r="M34" i="2"/>
  <c r="N34" i="2" s="1"/>
  <c r="M35" i="2"/>
  <c r="N35" i="2" s="1"/>
  <c r="M36" i="2"/>
  <c r="M38" i="2"/>
  <c r="M39" i="2"/>
  <c r="N19" i="2"/>
  <c r="N38" i="2"/>
  <c r="N8" i="2"/>
  <c r="N10" i="2"/>
  <c r="N12" i="2"/>
  <c r="N13" i="2"/>
  <c r="N14" i="2"/>
  <c r="N15" i="2"/>
  <c r="N16" i="2"/>
  <c r="N17" i="2"/>
  <c r="N18" i="2"/>
  <c r="N23" i="2"/>
  <c r="N24" i="2"/>
  <c r="N25" i="2"/>
  <c r="N28" i="2"/>
  <c r="N29" i="2"/>
  <c r="E39" i="5"/>
  <c r="D39" i="5"/>
  <c r="F39" i="5" s="1"/>
  <c r="E38" i="5"/>
  <c r="D38" i="5"/>
  <c r="F38" i="5" s="1"/>
  <c r="E36" i="5"/>
  <c r="D36" i="5"/>
  <c r="F36" i="5" s="1"/>
  <c r="E35" i="5"/>
  <c r="D35" i="5"/>
  <c r="F35" i="5" s="1"/>
  <c r="E34" i="5"/>
  <c r="D34" i="5"/>
  <c r="F34" i="5" s="1"/>
  <c r="F33" i="5"/>
  <c r="E33" i="5"/>
  <c r="D33" i="5"/>
  <c r="E32" i="5"/>
  <c r="D32" i="5"/>
  <c r="F32" i="5" s="1"/>
  <c r="E31" i="5"/>
  <c r="D31" i="5"/>
  <c r="F31" i="5" s="1"/>
  <c r="E29" i="5"/>
  <c r="D29" i="5"/>
  <c r="F29" i="5" s="1"/>
  <c r="E28" i="5"/>
  <c r="D28" i="5"/>
  <c r="F28" i="5" s="1"/>
  <c r="F27" i="5"/>
  <c r="E27" i="5"/>
  <c r="D27" i="5"/>
  <c r="E25" i="5"/>
  <c r="D25" i="5"/>
  <c r="F25" i="5" s="1"/>
  <c r="E24" i="5"/>
  <c r="D24" i="5"/>
  <c r="F24" i="5" s="1"/>
  <c r="E23" i="5"/>
  <c r="D23" i="5"/>
  <c r="F23" i="5" s="1"/>
  <c r="E21" i="5"/>
  <c r="D21" i="5"/>
  <c r="F21" i="5" s="1"/>
  <c r="E19" i="5"/>
  <c r="D19" i="5"/>
  <c r="F19" i="5" s="1"/>
  <c r="E18" i="5"/>
  <c r="D18" i="5"/>
  <c r="F18" i="5" s="1"/>
  <c r="E17" i="5"/>
  <c r="D17" i="5"/>
  <c r="F17" i="5" s="1"/>
  <c r="E16" i="5"/>
  <c r="D16" i="5"/>
  <c r="F16" i="5" s="1"/>
  <c r="E15" i="5"/>
  <c r="D15" i="5"/>
  <c r="F15" i="5" s="1"/>
  <c r="E14" i="5"/>
  <c r="D14" i="5"/>
  <c r="F14" i="5" s="1"/>
  <c r="F13" i="5"/>
  <c r="E13" i="5"/>
  <c r="D13" i="5"/>
  <c r="E12" i="5"/>
  <c r="D12" i="5"/>
  <c r="F12" i="5" s="1"/>
  <c r="E10" i="5"/>
  <c r="D10" i="5"/>
  <c r="F10" i="5" s="1"/>
  <c r="E9" i="5"/>
  <c r="D9" i="5"/>
  <c r="F9" i="5" s="1"/>
  <c r="E8" i="5"/>
  <c r="D8" i="5"/>
  <c r="F8" i="5" s="1"/>
  <c r="F6" i="5"/>
  <c r="E6" i="5"/>
  <c r="D6" i="5"/>
  <c r="E5" i="5"/>
  <c r="D5" i="5"/>
  <c r="F5" i="5" s="1"/>
  <c r="E4" i="5"/>
  <c r="D4" i="5"/>
  <c r="F4" i="5" s="1"/>
  <c r="E3" i="5"/>
  <c r="D3" i="5"/>
  <c r="F3" i="5" s="1"/>
  <c r="L8" i="2"/>
  <c r="L10" i="2"/>
  <c r="L12" i="2"/>
  <c r="L13" i="2"/>
  <c r="L14" i="2"/>
  <c r="L15" i="2"/>
  <c r="L16" i="2"/>
  <c r="L17" i="2"/>
  <c r="L18" i="2"/>
  <c r="L19" i="2"/>
  <c r="L21" i="2"/>
  <c r="L23" i="2"/>
  <c r="L24" i="2"/>
  <c r="L25" i="2"/>
  <c r="L27" i="2"/>
  <c r="L28" i="2"/>
  <c r="L29" i="2"/>
  <c r="L31" i="2"/>
  <c r="L32" i="2"/>
  <c r="L33" i="2"/>
  <c r="L34" i="2"/>
  <c r="L35" i="2"/>
  <c r="L38" i="2"/>
  <c r="L39" i="2"/>
  <c r="K4" i="2"/>
  <c r="K5" i="2"/>
  <c r="K6" i="2"/>
  <c r="K8" i="2"/>
  <c r="K9" i="2"/>
  <c r="K10" i="2"/>
  <c r="K12" i="2"/>
  <c r="K13" i="2"/>
  <c r="K14" i="2"/>
  <c r="K15" i="2"/>
  <c r="K16" i="2"/>
  <c r="K17" i="2"/>
  <c r="K18" i="2"/>
  <c r="K19" i="2"/>
  <c r="K21" i="2"/>
  <c r="K23" i="2"/>
  <c r="K24" i="2"/>
  <c r="K25" i="2"/>
  <c r="K27" i="2"/>
  <c r="K28" i="2"/>
  <c r="K29" i="2"/>
  <c r="K31" i="2"/>
  <c r="K32" i="2"/>
  <c r="K33" i="2"/>
  <c r="K34" i="2"/>
  <c r="K35" i="2"/>
  <c r="K36" i="2"/>
  <c r="K38" i="2"/>
  <c r="K39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J39" i="2"/>
  <c r="J38" i="2"/>
  <c r="J36" i="2"/>
  <c r="L36" i="2" s="1"/>
  <c r="J35" i="2"/>
  <c r="J34" i="2"/>
  <c r="J33" i="2"/>
  <c r="J32" i="2"/>
  <c r="J31" i="2"/>
  <c r="J29" i="2"/>
  <c r="J28" i="2"/>
  <c r="J27" i="2"/>
  <c r="J25" i="2"/>
  <c r="J24" i="2"/>
  <c r="J23" i="2"/>
  <c r="J21" i="2"/>
  <c r="J19" i="2"/>
  <c r="J18" i="2"/>
  <c r="J17" i="2"/>
  <c r="J16" i="2"/>
  <c r="J15" i="2"/>
  <c r="J14" i="2"/>
  <c r="J13" i="2"/>
  <c r="J12" i="2"/>
  <c r="J10" i="2"/>
  <c r="J9" i="2"/>
  <c r="L9" i="2" s="1"/>
  <c r="M9" i="2" s="1"/>
  <c r="N9" i="2" s="1"/>
  <c r="J8" i="2"/>
  <c r="J6" i="2"/>
  <c r="L6" i="2" s="1"/>
  <c r="M6" i="2" s="1"/>
  <c r="N6" i="2" s="1"/>
  <c r="J5" i="2"/>
  <c r="L5" i="2" s="1"/>
  <c r="M5" i="2" s="1"/>
  <c r="N5" i="2" s="1"/>
  <c r="J4" i="2"/>
  <c r="L4" i="2" s="1"/>
  <c r="M4" i="2" s="1"/>
  <c r="N4" i="2" s="1"/>
  <c r="K3" i="2"/>
  <c r="J3" i="2"/>
  <c r="L3" i="2" s="1"/>
  <c r="M3" i="2" s="1"/>
  <c r="N3" i="2" s="1"/>
  <c r="E6" i="2"/>
  <c r="D6" i="2"/>
  <c r="E5" i="2"/>
  <c r="D5" i="2"/>
  <c r="E4" i="2"/>
  <c r="D4" i="2"/>
  <c r="E3" i="2"/>
  <c r="D3" i="2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3" i="3"/>
  <c r="T11" i="1"/>
  <c r="T12" i="1"/>
  <c r="T13" i="1"/>
  <c r="T14" i="1"/>
  <c r="T15" i="1"/>
  <c r="U15" i="1" s="1"/>
  <c r="T16" i="1"/>
  <c r="U16" i="1" s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10" i="1"/>
  <c r="S11" i="1"/>
  <c r="S12" i="1"/>
  <c r="S13" i="1"/>
  <c r="S14" i="1"/>
  <c r="S15" i="1"/>
  <c r="S16" i="1"/>
  <c r="S17" i="1"/>
  <c r="S18" i="1"/>
  <c r="U18" i="1" s="1"/>
  <c r="S19" i="1"/>
  <c r="S20" i="1"/>
  <c r="U20" i="1" s="1"/>
  <c r="S21" i="1"/>
  <c r="S22" i="1"/>
  <c r="U22" i="1" s="1"/>
  <c r="S23" i="1"/>
  <c r="S24" i="1"/>
  <c r="S25" i="1"/>
  <c r="S26" i="1"/>
  <c r="U26" i="1" s="1"/>
  <c r="S27" i="1"/>
  <c r="U27" i="1" s="1"/>
  <c r="S28" i="1"/>
  <c r="S29" i="1"/>
  <c r="S30" i="1"/>
  <c r="S31" i="1"/>
  <c r="S32" i="1"/>
  <c r="S33" i="1"/>
  <c r="S10" i="1"/>
  <c r="R33" i="1"/>
  <c r="Q33" i="1"/>
  <c r="R32" i="1"/>
  <c r="Q32" i="1"/>
  <c r="R31" i="1"/>
  <c r="Q31" i="1"/>
  <c r="R30" i="1"/>
  <c r="Q30" i="1"/>
  <c r="R29" i="1"/>
  <c r="Q29" i="1"/>
  <c r="U29" i="1" s="1"/>
  <c r="R28" i="1"/>
  <c r="Q28" i="1"/>
  <c r="R27" i="1"/>
  <c r="Q27" i="1"/>
  <c r="R26" i="1"/>
  <c r="Q26" i="1"/>
  <c r="U25" i="1"/>
  <c r="R25" i="1"/>
  <c r="Q25" i="1"/>
  <c r="U24" i="1"/>
  <c r="R24" i="1"/>
  <c r="Q24" i="1"/>
  <c r="R23" i="1"/>
  <c r="Q23" i="1"/>
  <c r="U23" i="1" s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U13" i="1"/>
  <c r="R13" i="1"/>
  <c r="Q13" i="1"/>
  <c r="R12" i="1"/>
  <c r="Q12" i="1"/>
  <c r="U12" i="1" s="1"/>
  <c r="U11" i="1"/>
  <c r="R11" i="1"/>
  <c r="Q11" i="1"/>
  <c r="R10" i="1"/>
  <c r="Q10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P18" i="6" l="1"/>
  <c r="O18" i="6"/>
  <c r="P33" i="6"/>
  <c r="O33" i="6"/>
  <c r="P27" i="6"/>
  <c r="O27" i="6"/>
  <c r="M9" i="6"/>
  <c r="N9" i="6" s="1"/>
  <c r="M14" i="6"/>
  <c r="N14" i="6" s="1"/>
  <c r="M23" i="6"/>
  <c r="N23" i="6" s="1"/>
  <c r="U30" i="1"/>
  <c r="U10" i="1"/>
  <c r="U21" i="1"/>
  <c r="U31" i="1"/>
  <c r="U17" i="1"/>
  <c r="U32" i="1"/>
  <c r="U14" i="1"/>
  <c r="V17" i="1" s="1"/>
  <c r="U28" i="1"/>
  <c r="W29" i="1" s="1"/>
  <c r="W13" i="1"/>
  <c r="V13" i="1"/>
  <c r="W33" i="1"/>
  <c r="V33" i="1"/>
  <c r="W25" i="1"/>
  <c r="V25" i="1"/>
  <c r="W21" i="1"/>
  <c r="V21" i="1"/>
  <c r="P9" i="6" l="1"/>
  <c r="O9" i="6"/>
  <c r="P22" i="6"/>
  <c r="O22" i="6"/>
  <c r="P33" i="2"/>
  <c r="O33" i="2"/>
  <c r="V29" i="1"/>
  <c r="W17" i="1"/>
</calcChain>
</file>

<file path=xl/sharedStrings.xml><?xml version="1.0" encoding="utf-8"?>
<sst xmlns="http://schemas.openxmlformats.org/spreadsheetml/2006/main" count="365" uniqueCount="94">
  <si>
    <t>ACT1</t>
  </si>
  <si>
    <t>Average</t>
  </si>
  <si>
    <t>Stdev</t>
  </si>
  <si>
    <t>A6h_A</t>
  </si>
  <si>
    <t>A6h_B</t>
  </si>
  <si>
    <t>A6h_C</t>
  </si>
  <si>
    <t>A6h_D</t>
  </si>
  <si>
    <t>H6h_A</t>
  </si>
  <si>
    <t>H6h_B</t>
  </si>
  <si>
    <t>H6h_C</t>
  </si>
  <si>
    <t>H6h_D</t>
  </si>
  <si>
    <t>R30_A</t>
  </si>
  <si>
    <t>R30_B</t>
  </si>
  <si>
    <t>R30_C</t>
  </si>
  <si>
    <t>R30_D</t>
  </si>
  <si>
    <t>R60_A</t>
  </si>
  <si>
    <t>R60_B</t>
  </si>
  <si>
    <t>R60_C</t>
  </si>
  <si>
    <t>R60_D</t>
  </si>
  <si>
    <t>TA_A</t>
  </si>
  <si>
    <t>TA_B</t>
  </si>
  <si>
    <t>TA_C</t>
  </si>
  <si>
    <t>TA_D</t>
  </si>
  <si>
    <t>TH_A</t>
  </si>
  <si>
    <t>TH_B</t>
  </si>
  <si>
    <t>TH_C</t>
  </si>
  <si>
    <t>TH_D</t>
  </si>
  <si>
    <t>-</t>
  </si>
  <si>
    <t>CYC7</t>
  </si>
  <si>
    <t>DCt</t>
  </si>
  <si>
    <t>DDCt</t>
  </si>
  <si>
    <t>2^-DDCt</t>
  </si>
  <si>
    <t>*=2^-R45</t>
  </si>
  <si>
    <t>*=2^-R59</t>
  </si>
  <si>
    <t>UBQ10</t>
  </si>
  <si>
    <t>Pp-7-23-1</t>
  </si>
  <si>
    <t>Pp-7-23-2</t>
  </si>
  <si>
    <t>Pp-7-23-3</t>
  </si>
  <si>
    <t>Pp-7-23-4</t>
  </si>
  <si>
    <t>Rep.1</t>
  </si>
  <si>
    <t>Rep.2</t>
  </si>
  <si>
    <t>Avg</t>
  </si>
  <si>
    <t>Pp-10-2-1</t>
  </si>
  <si>
    <t>Pp-10-2-2</t>
  </si>
  <si>
    <t>Pp-10-2-3</t>
  </si>
  <si>
    <t>Pp-10-2-4</t>
  </si>
  <si>
    <t>WT1-1</t>
  </si>
  <si>
    <t>WT1-2</t>
  </si>
  <si>
    <t>WT1-3</t>
  </si>
  <si>
    <t>WT1-4</t>
  </si>
  <si>
    <t>WT1-6</t>
  </si>
  <si>
    <t>WT2-1</t>
  </si>
  <si>
    <t>WT2-2</t>
  </si>
  <si>
    <t>WT2-3</t>
  </si>
  <si>
    <t>WT2-4</t>
  </si>
  <si>
    <t>WT2-5</t>
  </si>
  <si>
    <t>WT2-7</t>
  </si>
  <si>
    <t>Col0-1</t>
  </si>
  <si>
    <t>Col0-2</t>
  </si>
  <si>
    <t>Col0-3</t>
  </si>
  <si>
    <t>Col0-4</t>
  </si>
  <si>
    <t>Col0-5</t>
  </si>
  <si>
    <t>Col0-6</t>
  </si>
  <si>
    <t>Col0-8</t>
  </si>
  <si>
    <t>4pco1-1</t>
  </si>
  <si>
    <t>4pco1-3</t>
  </si>
  <si>
    <t>4pco1-4</t>
  </si>
  <si>
    <t>4pco2-1</t>
  </si>
  <si>
    <t>4pco2-2</t>
  </si>
  <si>
    <t>4pco2-3</t>
  </si>
  <si>
    <t>Sample</t>
  </si>
  <si>
    <t>PP-10-4-1</t>
  </si>
  <si>
    <t>PP-10-4-2</t>
  </si>
  <si>
    <t>PP-10-4-3</t>
  </si>
  <si>
    <t>Pp-7-23-5</t>
  </si>
  <si>
    <t>Pp-7-23-6</t>
  </si>
  <si>
    <t>ADH</t>
  </si>
  <si>
    <t>St_Dev</t>
  </si>
  <si>
    <t>UBQ10_Sample</t>
  </si>
  <si>
    <t>UBQ10_Rep.1</t>
  </si>
  <si>
    <t>UBQ10_Rep.2</t>
  </si>
  <si>
    <t>UBQ10_Avg</t>
  </si>
  <si>
    <t>ADH_Sample</t>
  </si>
  <si>
    <t>ADH_Rep.1</t>
  </si>
  <si>
    <t>ADH_Rep.2</t>
  </si>
  <si>
    <t>ADH_Avg</t>
  </si>
  <si>
    <t>ADH_St.Dev</t>
  </si>
  <si>
    <t>UBQ10_St.Dev</t>
  </si>
  <si>
    <t>Dct</t>
  </si>
  <si>
    <t>St.Dev</t>
  </si>
  <si>
    <t>Many reasons why this hasn't worked - stress, incomplete complementation.</t>
  </si>
  <si>
    <t>Can claim from ADH that where different lines have different values, could be something going on?</t>
  </si>
  <si>
    <t>Could plot individual points and run a 1-way ANOVA, as well as of averages and STDEV</t>
  </si>
  <si>
    <t>NOTE - apparently 7-23 lacks PpPCO so this data makes 0 sense.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</si>
</sst>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D3EA-94B3-41F9-BEA0-FF264E8FC328}">
  <dimension ref="G9:W33"/>
  <sheetViews>
    <sheetView topLeftCell="F6" workbookViewId="0">
      <selection activeCell="V13" sqref="V13"/>
    </sheetView>
  </sheetViews>
  <sheetFormatPr defaultRowHeight="14.4" x14ac:dyDescent="0.3"/>
  <sheetData>
    <row r="9" spans="7:23" ht="15" thickBot="1" x14ac:dyDescent="0.35">
      <c r="G9" t="s">
        <v>0</v>
      </c>
      <c r="J9" t="s">
        <v>1</v>
      </c>
      <c r="K9" t="s">
        <v>2</v>
      </c>
      <c r="N9" t="s">
        <v>28</v>
      </c>
      <c r="Q9" t="s">
        <v>1</v>
      </c>
      <c r="R9" t="s">
        <v>2</v>
      </c>
      <c r="S9" t="s">
        <v>29</v>
      </c>
      <c r="T9" t="s">
        <v>30</v>
      </c>
      <c r="U9" s="1" t="s">
        <v>31</v>
      </c>
      <c r="V9" t="s">
        <v>1</v>
      </c>
      <c r="W9" t="s">
        <v>2</v>
      </c>
    </row>
    <row r="10" spans="7:23" x14ac:dyDescent="0.3">
      <c r="G10" t="s">
        <v>3</v>
      </c>
      <c r="H10">
        <v>19.050999999999998</v>
      </c>
      <c r="I10">
        <v>19.106999999999999</v>
      </c>
      <c r="J10">
        <f t="shared" ref="J10:J33" si="0">AVERAGE(H10:I10)</f>
        <v>19.079000000000001</v>
      </c>
      <c r="K10">
        <f t="shared" ref="K10:K33" si="1">STDEV(H10:I10)</f>
        <v>3.9597979746447326E-2</v>
      </c>
      <c r="N10" s="2" t="s">
        <v>3</v>
      </c>
      <c r="O10" s="3">
        <v>25.832999999999998</v>
      </c>
      <c r="P10" s="3">
        <v>26.077999999999999</v>
      </c>
      <c r="Q10" s="3">
        <f t="shared" ref="Q10:Q33" si="2">AVERAGE(O10:P10)</f>
        <v>25.955500000000001</v>
      </c>
      <c r="R10" s="3">
        <f t="shared" ref="R10:R33" si="3">STDEV(O10:P10)</f>
        <v>0.17324116139070483</v>
      </c>
      <c r="S10" s="3">
        <f>Q10-J10</f>
        <v>6.8765000000000001</v>
      </c>
      <c r="T10" s="3">
        <f>S10-$S$11</f>
        <v>0.55799999999999983</v>
      </c>
      <c r="U10" s="3">
        <f t="shared" ref="U10:U18" si="4">2^-T10</f>
        <v>0.67924314227447247</v>
      </c>
      <c r="V10" s="3"/>
      <c r="W10" s="4"/>
    </row>
    <row r="11" spans="7:23" x14ac:dyDescent="0.3">
      <c r="G11" t="s">
        <v>4</v>
      </c>
      <c r="H11">
        <v>18.091999999999999</v>
      </c>
      <c r="I11">
        <v>18.114999999999998</v>
      </c>
      <c r="J11">
        <f t="shared" si="0"/>
        <v>18.103499999999997</v>
      </c>
      <c r="K11">
        <f t="shared" si="1"/>
        <v>1.6263455967290372E-2</v>
      </c>
      <c r="N11" s="5" t="s">
        <v>4</v>
      </c>
      <c r="O11">
        <v>24.443999999999999</v>
      </c>
      <c r="P11">
        <v>24.4</v>
      </c>
      <c r="Q11">
        <f t="shared" si="2"/>
        <v>24.421999999999997</v>
      </c>
      <c r="R11">
        <f t="shared" si="3"/>
        <v>3.1112698372208432E-2</v>
      </c>
      <c r="S11">
        <f t="shared" ref="S11:S33" si="5">Q11-J11</f>
        <v>6.3185000000000002</v>
      </c>
      <c r="T11">
        <f t="shared" ref="T11:T33" si="6">S11-$S$11</f>
        <v>0</v>
      </c>
      <c r="U11">
        <f t="shared" si="4"/>
        <v>1</v>
      </c>
      <c r="W11" s="6"/>
    </row>
    <row r="12" spans="7:23" x14ac:dyDescent="0.3">
      <c r="G12" t="s">
        <v>5</v>
      </c>
      <c r="H12">
        <v>17.878</v>
      </c>
      <c r="I12">
        <v>17.516999999999999</v>
      </c>
      <c r="J12">
        <f t="shared" si="0"/>
        <v>17.697499999999998</v>
      </c>
      <c r="K12">
        <f t="shared" si="1"/>
        <v>0.25526554800834411</v>
      </c>
      <c r="N12" s="5" t="s">
        <v>5</v>
      </c>
      <c r="O12">
        <v>24.262</v>
      </c>
      <c r="P12">
        <v>24.350999999999999</v>
      </c>
      <c r="Q12">
        <f t="shared" si="2"/>
        <v>24.3065</v>
      </c>
      <c r="R12">
        <f t="shared" si="3"/>
        <v>6.2932503525601757E-2</v>
      </c>
      <c r="S12">
        <f t="shared" si="5"/>
        <v>6.6090000000000018</v>
      </c>
      <c r="T12">
        <f t="shared" si="6"/>
        <v>0.29050000000000153</v>
      </c>
      <c r="U12">
        <f t="shared" si="4"/>
        <v>0.81761864441961307</v>
      </c>
      <c r="W12" s="6"/>
    </row>
    <row r="13" spans="7:23" ht="15" thickBot="1" x14ac:dyDescent="0.35">
      <c r="G13" t="s">
        <v>6</v>
      </c>
      <c r="H13">
        <v>18.398</v>
      </c>
      <c r="I13">
        <v>18.346</v>
      </c>
      <c r="J13">
        <f t="shared" si="0"/>
        <v>18.372</v>
      </c>
      <c r="K13">
        <f t="shared" si="1"/>
        <v>3.6769552621700188E-2</v>
      </c>
      <c r="N13" s="7" t="s">
        <v>6</v>
      </c>
      <c r="O13" s="8">
        <v>25.015999999999998</v>
      </c>
      <c r="P13" s="8">
        <v>24.823</v>
      </c>
      <c r="Q13" s="8">
        <f t="shared" si="2"/>
        <v>24.919499999999999</v>
      </c>
      <c r="R13" s="8">
        <f t="shared" si="3"/>
        <v>0.13647160876900213</v>
      </c>
      <c r="S13" s="8">
        <f t="shared" si="5"/>
        <v>6.5474999999999994</v>
      </c>
      <c r="T13" s="8">
        <f t="shared" si="6"/>
        <v>0.2289999999999992</v>
      </c>
      <c r="U13" s="8">
        <f t="shared" si="4"/>
        <v>0.85322609811206795</v>
      </c>
      <c r="V13" s="8">
        <f>AVERAGE(U10:U13)</f>
        <v>0.83752197120153837</v>
      </c>
      <c r="W13" s="9">
        <f>STDEV(U10:U13)</f>
        <v>0.13177513618252304</v>
      </c>
    </row>
    <row r="14" spans="7:23" x14ac:dyDescent="0.3">
      <c r="G14" t="s">
        <v>7</v>
      </c>
      <c r="H14">
        <v>17.329000000000001</v>
      </c>
      <c r="I14">
        <v>17.155000000000001</v>
      </c>
      <c r="J14">
        <f t="shared" si="0"/>
        <v>17.242000000000001</v>
      </c>
      <c r="K14">
        <f t="shared" si="1"/>
        <v>0.1230365799264589</v>
      </c>
      <c r="N14" s="2" t="s">
        <v>7</v>
      </c>
      <c r="O14" s="3">
        <v>22.521999999999998</v>
      </c>
      <c r="P14" s="3">
        <v>22.492000000000001</v>
      </c>
      <c r="Q14" s="3">
        <f t="shared" si="2"/>
        <v>22.506999999999998</v>
      </c>
      <c r="R14" s="3">
        <f t="shared" si="3"/>
        <v>2.1213203435594716E-2</v>
      </c>
      <c r="S14" s="3">
        <f t="shared" si="5"/>
        <v>5.264999999999997</v>
      </c>
      <c r="T14" s="3">
        <f t="shared" si="6"/>
        <v>-1.0535000000000032</v>
      </c>
      <c r="U14" s="3">
        <f t="shared" si="4"/>
        <v>2.0755590824575947</v>
      </c>
      <c r="V14" s="3"/>
      <c r="W14" s="4"/>
    </row>
    <row r="15" spans="7:23" x14ac:dyDescent="0.3">
      <c r="G15" t="s">
        <v>8</v>
      </c>
      <c r="H15">
        <v>17.707000000000001</v>
      </c>
      <c r="I15">
        <v>17.652999999999999</v>
      </c>
      <c r="J15">
        <f t="shared" si="0"/>
        <v>17.68</v>
      </c>
      <c r="K15">
        <f t="shared" si="1"/>
        <v>3.8183766184075013E-2</v>
      </c>
      <c r="N15" s="5" t="s">
        <v>8</v>
      </c>
      <c r="O15">
        <v>22.728000000000002</v>
      </c>
      <c r="P15">
        <v>22.65</v>
      </c>
      <c r="Q15">
        <f t="shared" si="2"/>
        <v>22.689</v>
      </c>
      <c r="R15">
        <f t="shared" si="3"/>
        <v>5.5154328932552801E-2</v>
      </c>
      <c r="S15">
        <f t="shared" si="5"/>
        <v>5.0090000000000003</v>
      </c>
      <c r="T15">
        <f t="shared" si="6"/>
        <v>-1.3094999999999999</v>
      </c>
      <c r="U15">
        <f t="shared" si="4"/>
        <v>2.4785562488691664</v>
      </c>
      <c r="W15" s="6"/>
    </row>
    <row r="16" spans="7:23" x14ac:dyDescent="0.3">
      <c r="G16" t="s">
        <v>9</v>
      </c>
      <c r="H16">
        <v>17.559999999999999</v>
      </c>
      <c r="I16">
        <v>17.324000000000002</v>
      </c>
      <c r="J16">
        <f t="shared" si="0"/>
        <v>17.442</v>
      </c>
      <c r="K16">
        <f t="shared" si="1"/>
        <v>0.16687720036002315</v>
      </c>
      <c r="N16" s="5" t="s">
        <v>9</v>
      </c>
      <c r="O16">
        <v>21.859000000000002</v>
      </c>
      <c r="P16">
        <v>21.786000000000001</v>
      </c>
      <c r="Q16">
        <f t="shared" si="2"/>
        <v>21.822500000000002</v>
      </c>
      <c r="R16">
        <f t="shared" si="3"/>
        <v>5.1618795026618251E-2</v>
      </c>
      <c r="S16">
        <f t="shared" si="5"/>
        <v>4.3805000000000014</v>
      </c>
      <c r="T16">
        <f t="shared" si="6"/>
        <v>-1.9379999999999988</v>
      </c>
      <c r="U16">
        <f t="shared" si="4"/>
        <v>3.8317408728907822</v>
      </c>
      <c r="W16" s="6"/>
    </row>
    <row r="17" spans="7:23" ht="15" thickBot="1" x14ac:dyDescent="0.35">
      <c r="G17" t="s">
        <v>10</v>
      </c>
      <c r="H17">
        <v>17.52</v>
      </c>
      <c r="I17">
        <v>17.353000000000002</v>
      </c>
      <c r="J17">
        <f t="shared" si="0"/>
        <v>17.436500000000002</v>
      </c>
      <c r="K17">
        <f t="shared" si="1"/>
        <v>0.11808683245815205</v>
      </c>
      <c r="N17" s="7" t="s">
        <v>10</v>
      </c>
      <c r="O17" s="8">
        <v>22.527999999999999</v>
      </c>
      <c r="P17" s="8">
        <v>22.564</v>
      </c>
      <c r="Q17" s="8">
        <f t="shared" si="2"/>
        <v>22.545999999999999</v>
      </c>
      <c r="R17" s="8">
        <f t="shared" si="3"/>
        <v>2.5455844122716675E-2</v>
      </c>
      <c r="S17" s="8">
        <f t="shared" si="5"/>
        <v>5.109499999999997</v>
      </c>
      <c r="T17" s="8">
        <f t="shared" si="6"/>
        <v>-1.2090000000000032</v>
      </c>
      <c r="U17" s="8">
        <f t="shared" si="4"/>
        <v>2.3117734131096026</v>
      </c>
      <c r="V17" s="8">
        <f>AVERAGE(U14:U17)</f>
        <v>2.6744074043317863</v>
      </c>
      <c r="W17" s="9">
        <f>STDEV(U14:U17)</f>
        <v>0.78907142827167653</v>
      </c>
    </row>
    <row r="18" spans="7:23" x14ac:dyDescent="0.3">
      <c r="G18" t="s">
        <v>11</v>
      </c>
      <c r="H18">
        <v>17.204999999999998</v>
      </c>
      <c r="I18">
        <v>17.061</v>
      </c>
      <c r="J18">
        <f t="shared" si="0"/>
        <v>17.132999999999999</v>
      </c>
      <c r="K18">
        <f t="shared" si="1"/>
        <v>0.10182337649086168</v>
      </c>
      <c r="N18" s="2" t="s">
        <v>11</v>
      </c>
      <c r="O18" s="3">
        <v>22.265000000000001</v>
      </c>
      <c r="P18" s="3">
        <v>21.76</v>
      </c>
      <c r="Q18" s="3">
        <f t="shared" si="2"/>
        <v>22.012500000000003</v>
      </c>
      <c r="R18" s="3">
        <f t="shared" si="3"/>
        <v>0.35708892449920582</v>
      </c>
      <c r="S18" s="3">
        <f t="shared" si="5"/>
        <v>4.8795000000000037</v>
      </c>
      <c r="T18" s="3">
        <f t="shared" si="6"/>
        <v>-1.4389999999999965</v>
      </c>
      <c r="U18" s="3">
        <f t="shared" si="4"/>
        <v>2.7113286535999954</v>
      </c>
      <c r="V18" s="3"/>
      <c r="W18" s="4"/>
    </row>
    <row r="19" spans="7:23" x14ac:dyDescent="0.3">
      <c r="G19" t="s">
        <v>12</v>
      </c>
      <c r="H19">
        <v>17.54</v>
      </c>
      <c r="I19">
        <v>17.367000000000001</v>
      </c>
      <c r="J19">
        <f t="shared" si="0"/>
        <v>17.453499999999998</v>
      </c>
      <c r="K19">
        <f t="shared" si="1"/>
        <v>0.1223294731452715</v>
      </c>
      <c r="N19" s="5" t="s">
        <v>12</v>
      </c>
      <c r="O19">
        <v>21.451000000000001</v>
      </c>
      <c r="P19">
        <v>21.271999999999998</v>
      </c>
      <c r="Q19">
        <f t="shared" si="2"/>
        <v>21.361499999999999</v>
      </c>
      <c r="R19">
        <f t="shared" si="3"/>
        <v>0.12657211383239347</v>
      </c>
      <c r="S19">
        <f t="shared" si="5"/>
        <v>3.9080000000000013</v>
      </c>
      <c r="T19">
        <f t="shared" si="6"/>
        <v>-2.410499999999999</v>
      </c>
      <c r="U19" t="s">
        <v>32</v>
      </c>
      <c r="W19" s="6"/>
    </row>
    <row r="20" spans="7:23" x14ac:dyDescent="0.3">
      <c r="G20" t="s">
        <v>13</v>
      </c>
      <c r="H20">
        <v>16.977</v>
      </c>
      <c r="I20">
        <v>16.959</v>
      </c>
      <c r="J20">
        <f t="shared" si="0"/>
        <v>16.968</v>
      </c>
      <c r="K20">
        <f t="shared" si="1"/>
        <v>1.2727922061358338E-2</v>
      </c>
      <c r="N20" s="5" t="s">
        <v>13</v>
      </c>
      <c r="O20">
        <v>22.119</v>
      </c>
      <c r="P20">
        <v>21.896999999999998</v>
      </c>
      <c r="Q20">
        <f t="shared" si="2"/>
        <v>22.007999999999999</v>
      </c>
      <c r="R20">
        <f t="shared" si="3"/>
        <v>0.15697770542341447</v>
      </c>
      <c r="S20">
        <f t="shared" si="5"/>
        <v>5.0399999999999991</v>
      </c>
      <c r="T20">
        <f t="shared" si="6"/>
        <v>-1.2785000000000011</v>
      </c>
      <c r="U20">
        <f t="shared" ref="U20:U32" si="7">2^-T20</f>
        <v>2.4258662336210874</v>
      </c>
      <c r="W20" s="6"/>
    </row>
    <row r="21" spans="7:23" ht="15" thickBot="1" x14ac:dyDescent="0.35">
      <c r="G21" t="s">
        <v>14</v>
      </c>
      <c r="H21">
        <v>17.626999999999999</v>
      </c>
      <c r="I21">
        <v>17.402000000000001</v>
      </c>
      <c r="J21">
        <f t="shared" si="0"/>
        <v>17.514499999999998</v>
      </c>
      <c r="K21">
        <f t="shared" si="1"/>
        <v>0.15909902576697169</v>
      </c>
      <c r="N21" s="7" t="s">
        <v>14</v>
      </c>
      <c r="O21" s="8">
        <v>21.975999999999999</v>
      </c>
      <c r="P21" s="8">
        <v>21.972000000000001</v>
      </c>
      <c r="Q21" s="8">
        <f t="shared" si="2"/>
        <v>21.974</v>
      </c>
      <c r="R21" s="8">
        <f t="shared" si="3"/>
        <v>2.8284271247446227E-3</v>
      </c>
      <c r="S21" s="8">
        <f t="shared" si="5"/>
        <v>4.459500000000002</v>
      </c>
      <c r="T21" s="8">
        <f t="shared" si="6"/>
        <v>-1.8589999999999982</v>
      </c>
      <c r="U21" s="8">
        <f t="shared" si="7"/>
        <v>3.6275613157325677</v>
      </c>
      <c r="V21" s="8">
        <f>AVERAGE(U18:U21)</f>
        <v>2.9215854009845503</v>
      </c>
      <c r="W21" s="9">
        <f>STDEV(U18:U21)</f>
        <v>0.62783253536136485</v>
      </c>
    </row>
    <row r="22" spans="7:23" x14ac:dyDescent="0.3">
      <c r="G22" t="s">
        <v>15</v>
      </c>
      <c r="H22">
        <v>17.963999999999999</v>
      </c>
      <c r="I22">
        <v>17.419</v>
      </c>
      <c r="J22">
        <f t="shared" si="0"/>
        <v>17.691499999999998</v>
      </c>
      <c r="K22">
        <f t="shared" si="1"/>
        <v>0.38537319574666712</v>
      </c>
      <c r="N22" s="2" t="s">
        <v>15</v>
      </c>
      <c r="O22" s="3">
        <v>22.556999999999999</v>
      </c>
      <c r="P22" s="3">
        <v>22.13</v>
      </c>
      <c r="Q22" s="3">
        <f t="shared" si="2"/>
        <v>22.343499999999999</v>
      </c>
      <c r="R22" s="3">
        <f t="shared" si="3"/>
        <v>0.30193459556665553</v>
      </c>
      <c r="S22" s="3">
        <f t="shared" si="5"/>
        <v>4.652000000000001</v>
      </c>
      <c r="T22" s="3">
        <f t="shared" si="6"/>
        <v>-1.6664999999999992</v>
      </c>
      <c r="U22" s="3">
        <f t="shared" si="7"/>
        <v>3.1744353575997075</v>
      </c>
      <c r="V22" s="3"/>
      <c r="W22" s="4"/>
    </row>
    <row r="23" spans="7:23" x14ac:dyDescent="0.3">
      <c r="G23" t="s">
        <v>16</v>
      </c>
      <c r="H23">
        <v>18.056999999999999</v>
      </c>
      <c r="I23">
        <v>18.058</v>
      </c>
      <c r="J23">
        <f t="shared" si="0"/>
        <v>18.057499999999997</v>
      </c>
      <c r="K23">
        <f t="shared" si="1"/>
        <v>7.0710678118741173E-4</v>
      </c>
      <c r="N23" s="5" t="s">
        <v>16</v>
      </c>
      <c r="O23">
        <v>22.698</v>
      </c>
      <c r="P23">
        <v>22.535</v>
      </c>
      <c r="Q23">
        <f t="shared" si="2"/>
        <v>22.616500000000002</v>
      </c>
      <c r="R23">
        <f t="shared" si="3"/>
        <v>0.11525840533340743</v>
      </c>
      <c r="S23">
        <f t="shared" si="5"/>
        <v>4.5590000000000046</v>
      </c>
      <c r="T23">
        <f t="shared" si="6"/>
        <v>-1.7594999999999956</v>
      </c>
      <c r="U23">
        <f t="shared" si="7"/>
        <v>3.385807614585437</v>
      </c>
      <c r="W23" s="6"/>
    </row>
    <row r="24" spans="7:23" x14ac:dyDescent="0.3">
      <c r="G24" t="s">
        <v>17</v>
      </c>
      <c r="H24">
        <v>17.72</v>
      </c>
      <c r="I24">
        <v>17.347000000000001</v>
      </c>
      <c r="J24">
        <f t="shared" si="0"/>
        <v>17.5335</v>
      </c>
      <c r="K24">
        <f t="shared" si="1"/>
        <v>0.26375082938258049</v>
      </c>
      <c r="N24" s="5" t="s">
        <v>17</v>
      </c>
      <c r="O24">
        <v>21.914999999999999</v>
      </c>
      <c r="P24">
        <v>22.047000000000001</v>
      </c>
      <c r="Q24">
        <f t="shared" si="2"/>
        <v>21.981000000000002</v>
      </c>
      <c r="R24">
        <f t="shared" si="3"/>
        <v>9.3338095116625303E-2</v>
      </c>
      <c r="S24">
        <f t="shared" si="5"/>
        <v>4.4475000000000016</v>
      </c>
      <c r="T24">
        <f t="shared" si="6"/>
        <v>-1.8709999999999987</v>
      </c>
      <c r="U24">
        <f t="shared" si="7"/>
        <v>3.6578603579996023</v>
      </c>
      <c r="W24" s="6"/>
    </row>
    <row r="25" spans="7:23" ht="15" thickBot="1" x14ac:dyDescent="0.35">
      <c r="G25" t="s">
        <v>18</v>
      </c>
      <c r="H25">
        <v>17.991</v>
      </c>
      <c r="I25">
        <v>17.635999999999999</v>
      </c>
      <c r="J25">
        <f t="shared" si="0"/>
        <v>17.813499999999998</v>
      </c>
      <c r="K25">
        <f t="shared" si="1"/>
        <v>0.25102290732122468</v>
      </c>
      <c r="N25" s="7" t="s">
        <v>18</v>
      </c>
      <c r="O25" s="8">
        <v>23.721</v>
      </c>
      <c r="P25" s="8" t="s">
        <v>27</v>
      </c>
      <c r="Q25" s="8">
        <f t="shared" si="2"/>
        <v>23.721</v>
      </c>
      <c r="R25" s="8" t="e">
        <f t="shared" si="3"/>
        <v>#DIV/0!</v>
      </c>
      <c r="S25" s="8">
        <f t="shared" si="5"/>
        <v>5.9075000000000024</v>
      </c>
      <c r="T25" s="8">
        <f t="shared" si="6"/>
        <v>-0.41099999999999781</v>
      </c>
      <c r="U25" s="8">
        <f t="shared" si="7"/>
        <v>1.3296071081817129</v>
      </c>
      <c r="V25" s="8">
        <f>AVERAGE(U22:U25)</f>
        <v>2.886927609591615</v>
      </c>
      <c r="W25" s="9">
        <f>STDEV(U22:U25)</f>
        <v>1.0569021416742423</v>
      </c>
    </row>
    <row r="26" spans="7:23" x14ac:dyDescent="0.3">
      <c r="G26" t="s">
        <v>19</v>
      </c>
      <c r="H26">
        <v>17.68</v>
      </c>
      <c r="I26">
        <v>17.274000000000001</v>
      </c>
      <c r="J26">
        <f t="shared" si="0"/>
        <v>17.477</v>
      </c>
      <c r="K26">
        <f t="shared" si="1"/>
        <v>0.28708535316173744</v>
      </c>
      <c r="N26" s="2" t="s">
        <v>19</v>
      </c>
      <c r="O26" s="3">
        <v>24.265999999999998</v>
      </c>
      <c r="P26" s="3">
        <v>23.925999999999998</v>
      </c>
      <c r="Q26" s="3">
        <f t="shared" si="2"/>
        <v>24.095999999999997</v>
      </c>
      <c r="R26" s="3">
        <f t="shared" si="3"/>
        <v>0.24041630560342606</v>
      </c>
      <c r="S26" s="3">
        <f t="shared" si="5"/>
        <v>6.6189999999999962</v>
      </c>
      <c r="T26" s="3">
        <f t="shared" si="6"/>
        <v>0.30049999999999599</v>
      </c>
      <c r="U26" s="3">
        <f t="shared" si="7"/>
        <v>0.81197093990252311</v>
      </c>
      <c r="V26" s="3"/>
      <c r="W26" s="4"/>
    </row>
    <row r="27" spans="7:23" x14ac:dyDescent="0.3">
      <c r="G27" t="s">
        <v>20</v>
      </c>
      <c r="H27">
        <v>18.041</v>
      </c>
      <c r="I27">
        <v>17.692</v>
      </c>
      <c r="J27">
        <f t="shared" si="0"/>
        <v>17.866500000000002</v>
      </c>
      <c r="K27">
        <f t="shared" si="1"/>
        <v>0.24678026663410521</v>
      </c>
      <c r="N27" s="5" t="s">
        <v>20</v>
      </c>
      <c r="O27">
        <v>24.062999999999999</v>
      </c>
      <c r="P27">
        <v>23.695</v>
      </c>
      <c r="Q27">
        <f t="shared" si="2"/>
        <v>23.878999999999998</v>
      </c>
      <c r="R27">
        <f t="shared" si="3"/>
        <v>0.26021529547664846</v>
      </c>
      <c r="S27">
        <f t="shared" si="5"/>
        <v>6.0124999999999957</v>
      </c>
      <c r="T27">
        <f t="shared" si="6"/>
        <v>-0.30600000000000449</v>
      </c>
      <c r="U27">
        <f t="shared" si="7"/>
        <v>1.2362752609209553</v>
      </c>
      <c r="W27" s="6"/>
    </row>
    <row r="28" spans="7:23" x14ac:dyDescent="0.3">
      <c r="G28" t="s">
        <v>21</v>
      </c>
      <c r="H28">
        <v>18.001000000000001</v>
      </c>
      <c r="I28">
        <v>17.658000000000001</v>
      </c>
      <c r="J28">
        <f t="shared" si="0"/>
        <v>17.829500000000003</v>
      </c>
      <c r="K28">
        <f t="shared" si="1"/>
        <v>0.24253762594698577</v>
      </c>
      <c r="N28" s="5" t="s">
        <v>21</v>
      </c>
      <c r="O28">
        <v>24.5</v>
      </c>
      <c r="P28">
        <v>24.053000000000001</v>
      </c>
      <c r="Q28">
        <f t="shared" si="2"/>
        <v>24.276499999999999</v>
      </c>
      <c r="R28">
        <f t="shared" si="3"/>
        <v>0.31607673119038615</v>
      </c>
      <c r="S28">
        <f t="shared" si="5"/>
        <v>6.4469999999999956</v>
      </c>
      <c r="T28">
        <f t="shared" si="6"/>
        <v>0.1284999999999954</v>
      </c>
      <c r="U28">
        <f t="shared" si="7"/>
        <v>0.91478207387519173</v>
      </c>
      <c r="W28" s="6"/>
    </row>
    <row r="29" spans="7:23" ht="15" thickBot="1" x14ac:dyDescent="0.35">
      <c r="G29" t="s">
        <v>22</v>
      </c>
      <c r="H29">
        <v>17.861000000000001</v>
      </c>
      <c r="I29">
        <v>18.303000000000001</v>
      </c>
      <c r="J29">
        <f t="shared" si="0"/>
        <v>18.082000000000001</v>
      </c>
      <c r="K29">
        <f t="shared" si="1"/>
        <v>0.31254119728445412</v>
      </c>
      <c r="N29" s="7" t="s">
        <v>22</v>
      </c>
      <c r="O29" s="8">
        <v>23.052</v>
      </c>
      <c r="P29" s="8">
        <v>22.716999999999999</v>
      </c>
      <c r="Q29" s="8">
        <f t="shared" si="2"/>
        <v>22.884499999999999</v>
      </c>
      <c r="R29" s="8">
        <f t="shared" si="3"/>
        <v>0.23688077169749402</v>
      </c>
      <c r="S29" s="8">
        <f t="shared" si="5"/>
        <v>4.8024999999999984</v>
      </c>
      <c r="T29" s="8">
        <f t="shared" si="6"/>
        <v>-1.5160000000000018</v>
      </c>
      <c r="U29" s="8">
        <f t="shared" si="7"/>
        <v>2.8599699727233849</v>
      </c>
      <c r="V29" s="8">
        <f>AVERAGE(U26:U29)</f>
        <v>1.4557495618555139</v>
      </c>
      <c r="W29" s="9">
        <f>STDEV(U26:U29)</f>
        <v>0.95343251259227868</v>
      </c>
    </row>
    <row r="30" spans="7:23" x14ac:dyDescent="0.3">
      <c r="G30" t="s">
        <v>23</v>
      </c>
      <c r="H30">
        <v>18.773</v>
      </c>
      <c r="I30">
        <v>18.562999999999999</v>
      </c>
      <c r="J30">
        <f t="shared" si="0"/>
        <v>18.667999999999999</v>
      </c>
      <c r="K30">
        <f t="shared" si="1"/>
        <v>0.14849242404917559</v>
      </c>
      <c r="N30" s="2" t="s">
        <v>23</v>
      </c>
      <c r="O30" s="3">
        <v>23.177</v>
      </c>
      <c r="P30" s="3">
        <v>22.838999999999999</v>
      </c>
      <c r="Q30" s="3">
        <f t="shared" si="2"/>
        <v>23.007999999999999</v>
      </c>
      <c r="R30" s="3">
        <f t="shared" si="3"/>
        <v>0.23900209204105374</v>
      </c>
      <c r="S30" s="3">
        <f t="shared" si="5"/>
        <v>4.34</v>
      </c>
      <c r="T30" s="3">
        <f t="shared" si="6"/>
        <v>-1.9785000000000004</v>
      </c>
      <c r="U30" s="3">
        <f t="shared" si="7"/>
        <v>3.9408313229968059</v>
      </c>
      <c r="V30" s="3"/>
      <c r="W30" s="4"/>
    </row>
    <row r="31" spans="7:23" x14ac:dyDescent="0.3">
      <c r="G31" t="s">
        <v>24</v>
      </c>
      <c r="H31">
        <v>18.753</v>
      </c>
      <c r="I31">
        <v>18.495000000000001</v>
      </c>
      <c r="J31">
        <f t="shared" si="0"/>
        <v>18.624000000000002</v>
      </c>
      <c r="K31">
        <f t="shared" si="1"/>
        <v>0.18243354954612864</v>
      </c>
      <c r="N31" s="5" t="s">
        <v>24</v>
      </c>
      <c r="O31">
        <v>23.404</v>
      </c>
      <c r="P31">
        <v>23.074999999999999</v>
      </c>
      <c r="Q31">
        <f t="shared" si="2"/>
        <v>23.2395</v>
      </c>
      <c r="R31">
        <f t="shared" si="3"/>
        <v>0.23263813101037456</v>
      </c>
      <c r="S31">
        <f t="shared" si="5"/>
        <v>4.6154999999999973</v>
      </c>
      <c r="T31">
        <f t="shared" si="6"/>
        <v>-1.703000000000003</v>
      </c>
      <c r="U31">
        <f t="shared" si="7"/>
        <v>3.2557727402817447</v>
      </c>
      <c r="W31" s="6"/>
    </row>
    <row r="32" spans="7:23" x14ac:dyDescent="0.3">
      <c r="G32" t="s">
        <v>25</v>
      </c>
      <c r="H32">
        <v>19.015999999999998</v>
      </c>
      <c r="I32">
        <v>19.236999999999998</v>
      </c>
      <c r="J32">
        <f t="shared" si="0"/>
        <v>19.1265</v>
      </c>
      <c r="K32">
        <f t="shared" si="1"/>
        <v>0.15627059864222706</v>
      </c>
      <c r="N32" s="5" t="s">
        <v>25</v>
      </c>
      <c r="O32">
        <v>23.074999999999999</v>
      </c>
      <c r="Q32">
        <f t="shared" si="2"/>
        <v>23.074999999999999</v>
      </c>
      <c r="R32" t="e">
        <f t="shared" si="3"/>
        <v>#DIV/0!</v>
      </c>
      <c r="S32">
        <f t="shared" si="5"/>
        <v>3.9484999999999992</v>
      </c>
      <c r="T32">
        <f t="shared" si="6"/>
        <v>-2.370000000000001</v>
      </c>
      <c r="U32">
        <f t="shared" si="7"/>
        <v>5.1694113225499727</v>
      </c>
      <c r="W32" s="6"/>
    </row>
    <row r="33" spans="7:23" ht="15" thickBot="1" x14ac:dyDescent="0.35">
      <c r="G33" t="s">
        <v>26</v>
      </c>
      <c r="H33" t="s">
        <v>27</v>
      </c>
      <c r="I33">
        <v>22.364000000000001</v>
      </c>
      <c r="J33">
        <f t="shared" si="0"/>
        <v>22.364000000000001</v>
      </c>
      <c r="K33" t="e">
        <f t="shared" si="1"/>
        <v>#DIV/0!</v>
      </c>
      <c r="N33" s="7" t="s">
        <v>26</v>
      </c>
      <c r="O33" s="8">
        <v>23.768999999999998</v>
      </c>
      <c r="P33" s="8">
        <v>23.431999999999999</v>
      </c>
      <c r="Q33" s="8">
        <f t="shared" si="2"/>
        <v>23.600499999999997</v>
      </c>
      <c r="R33" s="8">
        <f t="shared" si="3"/>
        <v>0.23829498525986634</v>
      </c>
      <c r="S33" s="8">
        <f t="shared" si="5"/>
        <v>1.2364999999999959</v>
      </c>
      <c r="T33" s="8">
        <f t="shared" si="6"/>
        <v>-5.0820000000000043</v>
      </c>
      <c r="U33" s="8" t="s">
        <v>33</v>
      </c>
      <c r="V33" s="8">
        <f>AVERAGE(U30:U33)</f>
        <v>4.1220051286095076</v>
      </c>
      <c r="W33" s="9">
        <f>STDEV(U30:U33)</f>
        <v>0.96959843067453788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E30B-5B9C-471A-98E8-B321463BF474}">
  <dimension ref="A1:K39"/>
  <sheetViews>
    <sheetView workbookViewId="0">
      <selection activeCell="G31" sqref="G31:K31"/>
    </sheetView>
  </sheetViews>
  <sheetFormatPr defaultRowHeight="14.4" x14ac:dyDescent="0.3"/>
  <sheetData>
    <row r="1" spans="1:11" x14ac:dyDescent="0.3">
      <c r="A1" t="s">
        <v>34</v>
      </c>
      <c r="G1" t="s">
        <v>76</v>
      </c>
    </row>
    <row r="2" spans="1:11" x14ac:dyDescent="0.3">
      <c r="A2" t="s">
        <v>70</v>
      </c>
      <c r="B2" t="s">
        <v>39</v>
      </c>
      <c r="C2" t="s">
        <v>40</v>
      </c>
      <c r="D2" t="s">
        <v>41</v>
      </c>
      <c r="E2" t="s">
        <v>77</v>
      </c>
      <c r="G2" t="s">
        <v>70</v>
      </c>
      <c r="H2" t="s">
        <v>39</v>
      </c>
      <c r="I2" t="s">
        <v>40</v>
      </c>
      <c r="J2" t="s">
        <v>41</v>
      </c>
      <c r="K2" t="s">
        <v>77</v>
      </c>
    </row>
    <row r="3" spans="1:11" x14ac:dyDescent="0.3">
      <c r="A3" t="s">
        <v>35</v>
      </c>
      <c r="B3">
        <v>21.913</v>
      </c>
      <c r="C3">
        <v>21.792999999999999</v>
      </c>
      <c r="D3">
        <f>AVERAGE(B3:C3)</f>
        <v>21.853000000000002</v>
      </c>
      <c r="E3">
        <f>STDEV(B3:C3)</f>
        <v>8.4852813742386402E-2</v>
      </c>
      <c r="G3" t="s">
        <v>35</v>
      </c>
      <c r="H3">
        <v>33.345399999999998</v>
      </c>
      <c r="I3">
        <v>40</v>
      </c>
      <c r="J3">
        <f>AVERAGE(H3:I3)</f>
        <v>36.672699999999999</v>
      </c>
      <c r="K3">
        <f>STDEV(H3:I3)</f>
        <v>4.7055127860840003</v>
      </c>
    </row>
    <row r="4" spans="1:11" x14ac:dyDescent="0.3">
      <c r="A4" t="s">
        <v>36</v>
      </c>
      <c r="B4">
        <v>21.957000000000001</v>
      </c>
      <c r="C4">
        <v>21.975000000000001</v>
      </c>
      <c r="D4">
        <f t="shared" ref="D4:D39" si="0">AVERAGE(B4:C4)</f>
        <v>21.966000000000001</v>
      </c>
      <c r="E4">
        <f t="shared" ref="E4:E39" si="1">STDEV(B4:C4)</f>
        <v>1.2727922061358338E-2</v>
      </c>
      <c r="G4" t="s">
        <v>36</v>
      </c>
      <c r="H4">
        <v>29.640889999999999</v>
      </c>
      <c r="I4">
        <v>38.735669999999999</v>
      </c>
      <c r="J4">
        <f t="shared" ref="J4:J32" si="2">AVERAGE(H4:I4)</f>
        <v>34.188279999999999</v>
      </c>
      <c r="K4">
        <f t="shared" ref="K4:K32" si="3">STDEV(H4:I4)</f>
        <v>6.4309806113997903</v>
      </c>
    </row>
    <row r="5" spans="1:11" x14ac:dyDescent="0.3">
      <c r="A5" t="s">
        <v>37</v>
      </c>
      <c r="B5">
        <v>22.33</v>
      </c>
      <c r="C5">
        <v>22.541</v>
      </c>
      <c r="D5">
        <f t="shared" si="0"/>
        <v>22.435499999999998</v>
      </c>
      <c r="E5">
        <f t="shared" si="1"/>
        <v>0.149199530830363</v>
      </c>
      <c r="G5" t="s">
        <v>37</v>
      </c>
      <c r="H5">
        <v>31.76953</v>
      </c>
      <c r="I5">
        <v>40</v>
      </c>
      <c r="J5">
        <f t="shared" si="2"/>
        <v>35.884765000000002</v>
      </c>
      <c r="K5">
        <f t="shared" si="3"/>
        <v>5.819821149352407</v>
      </c>
    </row>
    <row r="6" spans="1:11" x14ac:dyDescent="0.3">
      <c r="A6" t="s">
        <v>38</v>
      </c>
      <c r="B6">
        <v>24.972000000000001</v>
      </c>
      <c r="C6">
        <v>24.923999999999999</v>
      </c>
      <c r="D6">
        <f t="shared" si="0"/>
        <v>24.948</v>
      </c>
      <c r="E6">
        <f t="shared" si="1"/>
        <v>3.394112549695557E-2</v>
      </c>
      <c r="G6" t="s">
        <v>38</v>
      </c>
      <c r="H6">
        <v>34.456069999999997</v>
      </c>
      <c r="I6">
        <v>40</v>
      </c>
      <c r="J6">
        <f t="shared" si="2"/>
        <v>37.228034999999998</v>
      </c>
      <c r="K6">
        <f t="shared" si="3"/>
        <v>3.9201504974235388</v>
      </c>
    </row>
    <row r="7" spans="1:11" x14ac:dyDescent="0.3">
      <c r="A7" t="s">
        <v>71</v>
      </c>
      <c r="B7">
        <v>22.151</v>
      </c>
      <c r="C7">
        <v>22.198</v>
      </c>
      <c r="D7">
        <f t="shared" si="0"/>
        <v>22.174500000000002</v>
      </c>
      <c r="E7">
        <f t="shared" si="1"/>
        <v>3.3234018715768157E-2</v>
      </c>
      <c r="G7" t="s">
        <v>71</v>
      </c>
      <c r="H7">
        <v>34.454340000000002</v>
      </c>
      <c r="I7">
        <v>40</v>
      </c>
      <c r="J7">
        <f t="shared" si="2"/>
        <v>37.227170000000001</v>
      </c>
      <c r="K7">
        <f t="shared" si="3"/>
        <v>3.9213737921549878</v>
      </c>
    </row>
    <row r="8" spans="1:11" x14ac:dyDescent="0.3">
      <c r="A8" t="s">
        <v>72</v>
      </c>
      <c r="B8">
        <v>20.861000000000001</v>
      </c>
      <c r="C8">
        <v>20.757000000000001</v>
      </c>
      <c r="D8">
        <f t="shared" si="0"/>
        <v>20.809000000000001</v>
      </c>
      <c r="E8">
        <f t="shared" si="1"/>
        <v>7.3539105243400377E-2</v>
      </c>
      <c r="G8" t="s">
        <v>72</v>
      </c>
      <c r="H8">
        <v>29.866980000000002</v>
      </c>
      <c r="I8">
        <v>40</v>
      </c>
      <c r="J8">
        <f t="shared" si="2"/>
        <v>34.933489999999999</v>
      </c>
      <c r="K8">
        <f t="shared" si="3"/>
        <v>7.1651271558989524</v>
      </c>
    </row>
    <row r="9" spans="1:11" x14ac:dyDescent="0.3">
      <c r="A9" t="s">
        <v>73</v>
      </c>
      <c r="B9">
        <v>21.789000000000001</v>
      </c>
      <c r="C9">
        <v>21.806999999999999</v>
      </c>
      <c r="D9">
        <f t="shared" si="0"/>
        <v>21.798000000000002</v>
      </c>
      <c r="E9">
        <f t="shared" si="1"/>
        <v>1.2727922061355826E-2</v>
      </c>
      <c r="G9" t="s">
        <v>73</v>
      </c>
      <c r="H9">
        <v>31.0078</v>
      </c>
      <c r="I9">
        <v>40</v>
      </c>
      <c r="J9">
        <f t="shared" si="2"/>
        <v>35.503900000000002</v>
      </c>
      <c r="K9">
        <f t="shared" si="3"/>
        <v>6.3584455977856482</v>
      </c>
    </row>
    <row r="10" spans="1:11" x14ac:dyDescent="0.3">
      <c r="A10" t="s">
        <v>42</v>
      </c>
      <c r="B10">
        <v>21.751000000000001</v>
      </c>
      <c r="C10">
        <v>21.715</v>
      </c>
      <c r="D10">
        <f t="shared" si="0"/>
        <v>21.733000000000001</v>
      </c>
      <c r="E10">
        <f t="shared" si="1"/>
        <v>2.5455844122716675E-2</v>
      </c>
      <c r="G10" t="s">
        <v>42</v>
      </c>
      <c r="H10">
        <v>29.798249999999999</v>
      </c>
      <c r="I10">
        <v>38.57911</v>
      </c>
      <c r="J10">
        <f t="shared" si="2"/>
        <v>34.188679999999998</v>
      </c>
      <c r="K10">
        <f t="shared" si="3"/>
        <v>6.2090056506497362</v>
      </c>
    </row>
    <row r="11" spans="1:11" x14ac:dyDescent="0.3">
      <c r="A11" t="s">
        <v>43</v>
      </c>
      <c r="B11">
        <v>19.774999999999999</v>
      </c>
      <c r="C11">
        <v>20.036000000000001</v>
      </c>
      <c r="D11">
        <f t="shared" si="0"/>
        <v>19.9055</v>
      </c>
      <c r="E11">
        <f t="shared" si="1"/>
        <v>0.18455486988969089</v>
      </c>
      <c r="G11" t="s">
        <v>43</v>
      </c>
      <c r="H11">
        <v>30.269950000000001</v>
      </c>
      <c r="I11">
        <v>30.199860000000001</v>
      </c>
      <c r="J11">
        <f t="shared" si="2"/>
        <v>30.234905000000001</v>
      </c>
      <c r="K11">
        <f t="shared" si="3"/>
        <v>4.9561114293365419E-2</v>
      </c>
    </row>
    <row r="12" spans="1:11" x14ac:dyDescent="0.3">
      <c r="A12" t="s">
        <v>47</v>
      </c>
      <c r="B12">
        <v>20.809000000000001</v>
      </c>
      <c r="C12">
        <v>20.876000000000001</v>
      </c>
      <c r="D12">
        <f t="shared" si="0"/>
        <v>20.842500000000001</v>
      </c>
      <c r="E12">
        <f t="shared" si="1"/>
        <v>4.7376154339498801E-2</v>
      </c>
      <c r="G12" t="s">
        <v>47</v>
      </c>
      <c r="H12">
        <v>30.585840000000001</v>
      </c>
      <c r="I12">
        <v>30.012619999999998</v>
      </c>
      <c r="J12">
        <f t="shared" si="2"/>
        <v>30.299230000000001</v>
      </c>
      <c r="K12">
        <f t="shared" si="3"/>
        <v>0.40532774911175468</v>
      </c>
    </row>
    <row r="13" spans="1:11" x14ac:dyDescent="0.3">
      <c r="A13" t="s">
        <v>48</v>
      </c>
      <c r="B13">
        <v>20.353999999999999</v>
      </c>
      <c r="C13">
        <v>20.495999999999999</v>
      </c>
      <c r="D13">
        <f t="shared" si="0"/>
        <v>20.424999999999997</v>
      </c>
      <c r="E13">
        <f t="shared" si="1"/>
        <v>0.10040916292848936</v>
      </c>
      <c r="G13" t="s">
        <v>48</v>
      </c>
      <c r="H13">
        <v>29.811219999999999</v>
      </c>
      <c r="I13">
        <v>29.364540000000002</v>
      </c>
      <c r="J13">
        <f t="shared" si="2"/>
        <v>29.587879999999998</v>
      </c>
      <c r="K13">
        <f t="shared" si="3"/>
        <v>0.31585045702040498</v>
      </c>
    </row>
    <row r="14" spans="1:11" x14ac:dyDescent="0.3">
      <c r="A14" t="s">
        <v>49</v>
      </c>
      <c r="B14">
        <v>22.771000000000001</v>
      </c>
      <c r="C14">
        <v>22.640999999999998</v>
      </c>
      <c r="D14">
        <f t="shared" si="0"/>
        <v>22.706</v>
      </c>
      <c r="E14">
        <f t="shared" si="1"/>
        <v>9.192388155425299E-2</v>
      </c>
      <c r="G14" t="s">
        <v>49</v>
      </c>
      <c r="H14">
        <v>31.546569999999999</v>
      </c>
      <c r="I14">
        <v>31.971440000000001</v>
      </c>
      <c r="J14">
        <f t="shared" si="2"/>
        <v>31.759005000000002</v>
      </c>
      <c r="K14">
        <f t="shared" si="3"/>
        <v>0.30042845812272989</v>
      </c>
    </row>
    <row r="15" spans="1:11" x14ac:dyDescent="0.3">
      <c r="A15" t="s">
        <v>52</v>
      </c>
      <c r="B15">
        <v>21.966999999999999</v>
      </c>
      <c r="C15">
        <v>22.084</v>
      </c>
      <c r="D15">
        <f t="shared" si="0"/>
        <v>22.025500000000001</v>
      </c>
      <c r="E15">
        <f t="shared" si="1"/>
        <v>8.2731493398826683E-2</v>
      </c>
      <c r="G15" t="s">
        <v>52</v>
      </c>
      <c r="H15">
        <v>28.2532</v>
      </c>
      <c r="I15">
        <v>27.755369999999999</v>
      </c>
      <c r="J15">
        <f t="shared" si="2"/>
        <v>28.004284999999999</v>
      </c>
      <c r="K15">
        <f t="shared" si="3"/>
        <v>0.35201896887809925</v>
      </c>
    </row>
    <row r="16" spans="1:11" x14ac:dyDescent="0.3">
      <c r="A16" t="s">
        <v>53</v>
      </c>
      <c r="B16">
        <v>20.794</v>
      </c>
      <c r="C16">
        <v>20.931000000000001</v>
      </c>
      <c r="D16">
        <f t="shared" si="0"/>
        <v>20.862500000000001</v>
      </c>
      <c r="E16">
        <f t="shared" si="1"/>
        <v>9.6873629022557334E-2</v>
      </c>
      <c r="G16" t="s">
        <v>53</v>
      </c>
      <c r="H16">
        <v>29.03284</v>
      </c>
      <c r="I16">
        <v>29.534790000000001</v>
      </c>
      <c r="J16">
        <f t="shared" si="2"/>
        <v>29.283815000000001</v>
      </c>
      <c r="K16">
        <f t="shared" si="3"/>
        <v>0.35493224881658808</v>
      </c>
    </row>
    <row r="17" spans="1:11" x14ac:dyDescent="0.3">
      <c r="A17" t="s">
        <v>55</v>
      </c>
      <c r="B17">
        <v>22.978999999999999</v>
      </c>
      <c r="C17">
        <v>22.974</v>
      </c>
      <c r="D17">
        <f t="shared" si="0"/>
        <v>22.976500000000001</v>
      </c>
      <c r="E17">
        <f t="shared" si="1"/>
        <v>3.5355339059320342E-3</v>
      </c>
      <c r="G17" t="s">
        <v>55</v>
      </c>
      <c r="H17">
        <v>34.61271</v>
      </c>
      <c r="I17">
        <v>34.31476</v>
      </c>
      <c r="J17">
        <f t="shared" si="2"/>
        <v>34.463735</v>
      </c>
      <c r="K17">
        <f t="shared" si="3"/>
        <v>0.21068246545453195</v>
      </c>
    </row>
    <row r="18" spans="1:11" x14ac:dyDescent="0.3">
      <c r="A18" t="s">
        <v>56</v>
      </c>
      <c r="B18">
        <v>21.728000000000002</v>
      </c>
      <c r="C18">
        <v>21.516999999999999</v>
      </c>
      <c r="D18">
        <f t="shared" si="0"/>
        <v>21.622500000000002</v>
      </c>
      <c r="E18">
        <f t="shared" si="1"/>
        <v>0.149199530830363</v>
      </c>
      <c r="G18" t="s">
        <v>56</v>
      </c>
      <c r="H18">
        <v>29.294519999999999</v>
      </c>
      <c r="I18">
        <v>29.630400000000002</v>
      </c>
      <c r="J18">
        <f t="shared" si="2"/>
        <v>29.46246</v>
      </c>
      <c r="K18">
        <f t="shared" si="3"/>
        <v>0.23750302566493975</v>
      </c>
    </row>
    <row r="19" spans="1:11" x14ac:dyDescent="0.3">
      <c r="A19" t="s">
        <v>58</v>
      </c>
      <c r="B19">
        <v>22.228000000000002</v>
      </c>
      <c r="C19">
        <v>22.114999999999998</v>
      </c>
      <c r="D19">
        <f t="shared" si="0"/>
        <v>22.171500000000002</v>
      </c>
      <c r="E19">
        <f t="shared" si="1"/>
        <v>7.9903066274082057E-2</v>
      </c>
      <c r="G19" t="s">
        <v>58</v>
      </c>
      <c r="H19">
        <v>33.53396</v>
      </c>
      <c r="I19">
        <v>32.547159999999998</v>
      </c>
      <c r="J19">
        <f t="shared" si="2"/>
        <v>33.040559999999999</v>
      </c>
      <c r="K19">
        <f t="shared" si="3"/>
        <v>0.69777297167488672</v>
      </c>
    </row>
    <row r="20" spans="1:11" x14ac:dyDescent="0.3">
      <c r="A20" t="s">
        <v>59</v>
      </c>
      <c r="B20">
        <v>20.256</v>
      </c>
      <c r="C20">
        <v>20.065999999999999</v>
      </c>
      <c r="D20">
        <f t="shared" si="0"/>
        <v>20.161000000000001</v>
      </c>
      <c r="E20">
        <f t="shared" si="1"/>
        <v>0.13435028842544494</v>
      </c>
      <c r="G20" t="s">
        <v>59</v>
      </c>
      <c r="H20">
        <v>32.86551</v>
      </c>
      <c r="I20">
        <v>32.636029999999998</v>
      </c>
      <c r="J20">
        <f t="shared" si="2"/>
        <v>32.750770000000003</v>
      </c>
      <c r="K20">
        <f t="shared" si="3"/>
        <v>0.16226686414669059</v>
      </c>
    </row>
    <row r="21" spans="1:11" x14ac:dyDescent="0.3">
      <c r="A21" t="s">
        <v>62</v>
      </c>
      <c r="B21">
        <v>20.292999999999999</v>
      </c>
      <c r="C21">
        <v>20.262</v>
      </c>
      <c r="D21">
        <f t="shared" si="0"/>
        <v>20.2775</v>
      </c>
      <c r="E21">
        <f t="shared" si="1"/>
        <v>2.1920310216782129E-2</v>
      </c>
      <c r="G21" t="s">
        <v>62</v>
      </c>
      <c r="H21">
        <v>33.367159999999998</v>
      </c>
      <c r="I21">
        <v>32.115720000000003</v>
      </c>
      <c r="J21">
        <f t="shared" si="2"/>
        <v>32.741439999999997</v>
      </c>
      <c r="K21">
        <f t="shared" si="3"/>
        <v>0.88490171024808961</v>
      </c>
    </row>
    <row r="22" spans="1:11" x14ac:dyDescent="0.3">
      <c r="A22" t="s">
        <v>64</v>
      </c>
      <c r="B22">
        <v>37.405000000000001</v>
      </c>
      <c r="C22">
        <v>36.039000000000001</v>
      </c>
      <c r="D22">
        <f t="shared" si="0"/>
        <v>36.722000000000001</v>
      </c>
      <c r="E22">
        <f t="shared" si="1"/>
        <v>0.96590786310082366</v>
      </c>
      <c r="G22" t="s">
        <v>64</v>
      </c>
      <c r="H22">
        <v>40</v>
      </c>
      <c r="I22">
        <v>40</v>
      </c>
      <c r="J22">
        <f t="shared" si="2"/>
        <v>40</v>
      </c>
      <c r="K22">
        <f t="shared" si="3"/>
        <v>0</v>
      </c>
    </row>
    <row r="23" spans="1:11" x14ac:dyDescent="0.3">
      <c r="A23" t="s">
        <v>65</v>
      </c>
      <c r="B23">
        <v>34.713000000000001</v>
      </c>
      <c r="C23">
        <v>37.057000000000002</v>
      </c>
      <c r="D23">
        <f t="shared" si="0"/>
        <v>35.885000000000005</v>
      </c>
      <c r="E23">
        <f t="shared" si="1"/>
        <v>1.6574582951012682</v>
      </c>
      <c r="G23" t="s">
        <v>65</v>
      </c>
      <c r="H23">
        <v>40</v>
      </c>
      <c r="I23">
        <v>40</v>
      </c>
      <c r="J23">
        <f t="shared" si="2"/>
        <v>40</v>
      </c>
      <c r="K23">
        <f t="shared" si="3"/>
        <v>0</v>
      </c>
    </row>
    <row r="24" spans="1:11" x14ac:dyDescent="0.3">
      <c r="A24" t="s">
        <v>66</v>
      </c>
      <c r="B24">
        <v>21.821999999999999</v>
      </c>
      <c r="C24">
        <v>21.934999999999999</v>
      </c>
      <c r="D24">
        <f t="shared" si="0"/>
        <v>21.878499999999999</v>
      </c>
      <c r="E24">
        <f t="shared" si="1"/>
        <v>7.9903066274079546E-2</v>
      </c>
      <c r="G24" t="s">
        <v>66</v>
      </c>
      <c r="H24">
        <v>31.86497</v>
      </c>
      <c r="I24">
        <v>31.22053</v>
      </c>
      <c r="J24">
        <f t="shared" si="2"/>
        <v>31.542749999999998</v>
      </c>
      <c r="K24">
        <f t="shared" si="3"/>
        <v>0.45568789406785831</v>
      </c>
    </row>
    <row r="25" spans="1:11" x14ac:dyDescent="0.3">
      <c r="A25" t="s">
        <v>67</v>
      </c>
      <c r="B25">
        <v>20.013000000000002</v>
      </c>
      <c r="C25">
        <v>20.114999999999998</v>
      </c>
      <c r="D25">
        <f t="shared" si="0"/>
        <v>20.064</v>
      </c>
      <c r="E25">
        <f t="shared" si="1"/>
        <v>7.2124891681025552E-2</v>
      </c>
      <c r="G25" t="s">
        <v>67</v>
      </c>
      <c r="H25">
        <v>29.097740000000002</v>
      </c>
      <c r="I25">
        <v>29.182690000000001</v>
      </c>
      <c r="J25">
        <f t="shared" si="2"/>
        <v>29.140215000000001</v>
      </c>
      <c r="K25">
        <f t="shared" si="3"/>
        <v>6.0068721061796643E-2</v>
      </c>
    </row>
    <row r="26" spans="1:11" x14ac:dyDescent="0.3">
      <c r="A26" t="s">
        <v>68</v>
      </c>
      <c r="B26">
        <v>36.926000000000002</v>
      </c>
      <c r="C26">
        <v>35.97</v>
      </c>
      <c r="D26">
        <f t="shared" si="0"/>
        <v>36.448</v>
      </c>
      <c r="E26">
        <f t="shared" si="1"/>
        <v>0.67599408281434159</v>
      </c>
      <c r="G26" t="s">
        <v>69</v>
      </c>
      <c r="H26">
        <v>29.96359</v>
      </c>
      <c r="I26">
        <v>29.72438</v>
      </c>
      <c r="J26">
        <f t="shared" si="2"/>
        <v>29.843985</v>
      </c>
      <c r="K26">
        <f t="shared" si="3"/>
        <v>0.16914701312763397</v>
      </c>
    </row>
    <row r="27" spans="1:11" x14ac:dyDescent="0.3">
      <c r="A27" t="s">
        <v>69</v>
      </c>
      <c r="B27">
        <v>21.033999999999999</v>
      </c>
      <c r="C27">
        <v>20.888000000000002</v>
      </c>
      <c r="D27">
        <f t="shared" si="0"/>
        <v>20.960999999999999</v>
      </c>
      <c r="E27">
        <f t="shared" si="1"/>
        <v>0.10323759005323399</v>
      </c>
      <c r="G27" t="s">
        <v>45</v>
      </c>
      <c r="H27">
        <v>28.940370000000001</v>
      </c>
      <c r="I27">
        <v>28.87839</v>
      </c>
      <c r="J27">
        <f t="shared" si="2"/>
        <v>28.909379999999999</v>
      </c>
      <c r="K27">
        <f t="shared" si="3"/>
        <v>4.3826478297943575E-2</v>
      </c>
    </row>
    <row r="28" spans="1:11" x14ac:dyDescent="0.3">
      <c r="A28" t="s">
        <v>44</v>
      </c>
      <c r="B28">
        <v>34.838999999999999</v>
      </c>
      <c r="C28">
        <v>36.228000000000002</v>
      </c>
      <c r="D28">
        <f t="shared" si="0"/>
        <v>35.533500000000004</v>
      </c>
      <c r="E28">
        <f t="shared" si="1"/>
        <v>0.98217131906811661</v>
      </c>
      <c r="G28" t="s">
        <v>75</v>
      </c>
      <c r="H28">
        <v>39.400230000000001</v>
      </c>
      <c r="I28">
        <v>40</v>
      </c>
      <c r="J28">
        <f t="shared" si="2"/>
        <v>39.700114999999997</v>
      </c>
      <c r="K28">
        <f t="shared" si="3"/>
        <v>0.42410143415225521</v>
      </c>
    </row>
    <row r="29" spans="1:11" x14ac:dyDescent="0.3">
      <c r="A29" t="s">
        <v>45</v>
      </c>
      <c r="B29">
        <v>21.177</v>
      </c>
      <c r="C29">
        <v>21.169</v>
      </c>
      <c r="D29">
        <f t="shared" si="0"/>
        <v>21.173000000000002</v>
      </c>
      <c r="E29">
        <f t="shared" si="1"/>
        <v>5.6568542494917573E-3</v>
      </c>
      <c r="G29" t="s">
        <v>57</v>
      </c>
      <c r="H29">
        <v>33.281010000000002</v>
      </c>
      <c r="I29">
        <v>32.553040000000003</v>
      </c>
      <c r="J29">
        <f t="shared" si="2"/>
        <v>32.917025000000002</v>
      </c>
      <c r="K29">
        <f t="shared" si="3"/>
        <v>0.51475252350037037</v>
      </c>
    </row>
    <row r="30" spans="1:11" x14ac:dyDescent="0.3">
      <c r="A30" t="s">
        <v>74</v>
      </c>
      <c r="B30">
        <v>35.279000000000003</v>
      </c>
      <c r="C30">
        <v>36.277000000000001</v>
      </c>
      <c r="D30">
        <f t="shared" si="0"/>
        <v>35.778000000000006</v>
      </c>
      <c r="E30">
        <f t="shared" si="1"/>
        <v>0.70569256762417265</v>
      </c>
      <c r="G30" t="s">
        <v>60</v>
      </c>
      <c r="H30">
        <v>40</v>
      </c>
      <c r="I30">
        <v>4.2073600000000004</v>
      </c>
      <c r="J30">
        <f t="shared" si="2"/>
        <v>22.103680000000001</v>
      </c>
      <c r="K30">
        <f t="shared" si="3"/>
        <v>25.309218460568864</v>
      </c>
    </row>
    <row r="31" spans="1:11" x14ac:dyDescent="0.3">
      <c r="A31" t="s">
        <v>75</v>
      </c>
      <c r="B31">
        <v>37.607999999999997</v>
      </c>
      <c r="C31">
        <v>40</v>
      </c>
      <c r="D31">
        <f t="shared" si="0"/>
        <v>38.804000000000002</v>
      </c>
      <c r="E31">
        <f t="shared" si="1"/>
        <v>1.6913994205982239</v>
      </c>
      <c r="G31" t="s">
        <v>63</v>
      </c>
      <c r="H31">
        <v>31.14283</v>
      </c>
      <c r="I31">
        <v>31.293220000000002</v>
      </c>
      <c r="J31">
        <f t="shared" si="2"/>
        <v>31.218025000000001</v>
      </c>
      <c r="K31">
        <f t="shared" si="3"/>
        <v>0.106341788822646</v>
      </c>
    </row>
    <row r="32" spans="1:11" x14ac:dyDescent="0.3">
      <c r="A32" t="s">
        <v>57</v>
      </c>
      <c r="B32">
        <v>21.073</v>
      </c>
      <c r="C32">
        <v>21.155999999999999</v>
      </c>
      <c r="D32">
        <f t="shared" si="0"/>
        <v>21.1145</v>
      </c>
      <c r="E32">
        <f t="shared" si="1"/>
        <v>5.8689862838482321E-2</v>
      </c>
      <c r="G32" t="s">
        <v>51</v>
      </c>
      <c r="H32">
        <v>27.632180000000002</v>
      </c>
      <c r="I32">
        <v>27.455030000000001</v>
      </c>
      <c r="J32">
        <f t="shared" si="2"/>
        <v>27.543604999999999</v>
      </c>
      <c r="K32">
        <f t="shared" si="3"/>
        <v>0.1252639662871976</v>
      </c>
    </row>
    <row r="33" spans="1:5" x14ac:dyDescent="0.3">
      <c r="A33" t="s">
        <v>60</v>
      </c>
      <c r="B33">
        <v>20.591000000000001</v>
      </c>
      <c r="C33">
        <v>20.524000000000001</v>
      </c>
      <c r="D33">
        <f t="shared" si="0"/>
        <v>20.557500000000001</v>
      </c>
      <c r="E33">
        <f t="shared" si="1"/>
        <v>4.7376154339498801E-2</v>
      </c>
    </row>
    <row r="34" spans="1:5" x14ac:dyDescent="0.3">
      <c r="A34" t="s">
        <v>61</v>
      </c>
      <c r="B34">
        <v>36.838999999999999</v>
      </c>
      <c r="C34">
        <v>36.744</v>
      </c>
      <c r="D34">
        <f t="shared" si="0"/>
        <v>36.791499999999999</v>
      </c>
      <c r="E34">
        <f t="shared" si="1"/>
        <v>6.7175144212721208E-2</v>
      </c>
    </row>
    <row r="35" spans="1:5" x14ac:dyDescent="0.3">
      <c r="A35" t="s">
        <v>63</v>
      </c>
      <c r="B35">
        <v>22.442</v>
      </c>
      <c r="C35">
        <v>21.396000000000001</v>
      </c>
      <c r="D35">
        <f t="shared" si="0"/>
        <v>21.919</v>
      </c>
      <c r="E35">
        <f t="shared" si="1"/>
        <v>0.73963369312112826</v>
      </c>
    </row>
    <row r="36" spans="1:5" x14ac:dyDescent="0.3">
      <c r="A36" t="s">
        <v>51</v>
      </c>
      <c r="B36">
        <v>20.065999999999999</v>
      </c>
      <c r="C36">
        <v>19.899999999999999</v>
      </c>
      <c r="D36">
        <f t="shared" si="0"/>
        <v>19.982999999999997</v>
      </c>
      <c r="E36">
        <f t="shared" si="1"/>
        <v>0.11737972567696715</v>
      </c>
    </row>
    <row r="37" spans="1:5" x14ac:dyDescent="0.3">
      <c r="A37" t="s">
        <v>54</v>
      </c>
      <c r="B37">
        <v>30.928999999999998</v>
      </c>
      <c r="C37">
        <v>34.701000000000001</v>
      </c>
      <c r="D37">
        <f t="shared" si="0"/>
        <v>32.814999999999998</v>
      </c>
      <c r="E37">
        <f t="shared" si="1"/>
        <v>2.6672067786356588</v>
      </c>
    </row>
    <row r="38" spans="1:5" x14ac:dyDescent="0.3">
      <c r="A38" t="s">
        <v>46</v>
      </c>
      <c r="B38">
        <v>35.804000000000002</v>
      </c>
      <c r="C38">
        <v>36.219000000000001</v>
      </c>
      <c r="D38">
        <f t="shared" si="0"/>
        <v>36.011499999999998</v>
      </c>
      <c r="E38">
        <f t="shared" si="1"/>
        <v>0.2934493141924166</v>
      </c>
    </row>
    <row r="39" spans="1:5" x14ac:dyDescent="0.3">
      <c r="A39" t="s">
        <v>50</v>
      </c>
      <c r="B39">
        <v>37.418999999999997</v>
      </c>
      <c r="C39">
        <v>36.735999999999997</v>
      </c>
      <c r="D39">
        <f t="shared" si="0"/>
        <v>37.077500000000001</v>
      </c>
      <c r="E39">
        <f t="shared" si="1"/>
        <v>0.48295393155041183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EEB0-7ED9-47AD-A428-ABAE64904F4D}">
  <dimension ref="A1:P39"/>
  <sheetViews>
    <sheetView zoomScale="65" workbookViewId="0">
      <selection activeCell="I3" sqref="I3"/>
    </sheetView>
  </sheetViews>
  <sheetFormatPr defaultRowHeight="14.4" x14ac:dyDescent="0.3"/>
  <sheetData>
    <row r="1" spans="1:16" x14ac:dyDescent="0.3">
      <c r="A1" t="s">
        <v>34</v>
      </c>
      <c r="G1" t="s">
        <v>76</v>
      </c>
    </row>
    <row r="2" spans="1:16" x14ac:dyDescent="0.3">
      <c r="A2" t="s">
        <v>78</v>
      </c>
      <c r="B2" t="s">
        <v>79</v>
      </c>
      <c r="C2" t="s">
        <v>80</v>
      </c>
      <c r="D2" t="s">
        <v>81</v>
      </c>
      <c r="E2" t="s">
        <v>87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29</v>
      </c>
      <c r="M2" t="s">
        <v>30</v>
      </c>
      <c r="N2" t="s">
        <v>31</v>
      </c>
      <c r="O2" t="s">
        <v>1</v>
      </c>
      <c r="P2" t="s">
        <v>89</v>
      </c>
    </row>
    <row r="3" spans="1:16" x14ac:dyDescent="0.3">
      <c r="A3" t="s">
        <v>35</v>
      </c>
      <c r="B3">
        <v>21.913</v>
      </c>
      <c r="C3">
        <v>21.792999999999999</v>
      </c>
      <c r="D3">
        <f>AVERAGE(B3:C3)</f>
        <v>21.853000000000002</v>
      </c>
      <c r="E3">
        <f>STDEV(B3:C3)</f>
        <v>8.4852813742386402E-2</v>
      </c>
      <c r="G3" t="s">
        <v>35</v>
      </c>
      <c r="H3">
        <v>33.345399999999998</v>
      </c>
      <c r="I3">
        <v>40</v>
      </c>
      <c r="J3">
        <f>AVERAGE(H3:I3)</f>
        <v>36.672699999999999</v>
      </c>
      <c r="K3">
        <f>STDEV(H3:I3)</f>
        <v>4.7055127860840003</v>
      </c>
      <c r="L3">
        <f>J3-D3</f>
        <v>14.819699999999997</v>
      </c>
      <c r="M3">
        <f>L3-$L$39</f>
        <v>5.5206749999999971</v>
      </c>
      <c r="N3">
        <f>2^-M3</f>
        <v>2.1782675846934489E-2</v>
      </c>
    </row>
    <row r="4" spans="1:16" x14ac:dyDescent="0.3">
      <c r="A4" t="s">
        <v>36</v>
      </c>
      <c r="B4">
        <v>21.957000000000001</v>
      </c>
      <c r="C4">
        <v>21.975000000000001</v>
      </c>
      <c r="D4">
        <f t="shared" ref="D4:D6" si="0">AVERAGE(B4:C4)</f>
        <v>21.966000000000001</v>
      </c>
      <c r="E4">
        <f t="shared" ref="E4:E6" si="1">STDEV(B4:C4)</f>
        <v>1.2727922061358338E-2</v>
      </c>
      <c r="G4" t="s">
        <v>36</v>
      </c>
      <c r="H4">
        <v>29.640889999999999</v>
      </c>
      <c r="I4">
        <v>38.735669999999999</v>
      </c>
      <c r="J4">
        <f t="shared" ref="J4:J39" si="2">AVERAGE(H4:I4)</f>
        <v>34.188279999999999</v>
      </c>
      <c r="K4">
        <f t="shared" ref="K4:K39" si="3">STDEV(H4:I4)</f>
        <v>6.4309806113997903</v>
      </c>
      <c r="L4">
        <f t="shared" ref="L4:L39" si="4">J4-D4</f>
        <v>12.222279999999998</v>
      </c>
      <c r="M4">
        <f t="shared" ref="M4:M39" si="5">L4-$L$39</f>
        <v>2.9232549999999975</v>
      </c>
      <c r="N4">
        <f t="shared" ref="N4:N38" si="6">2^-M4</f>
        <v>0.13182948637873043</v>
      </c>
    </row>
    <row r="5" spans="1:16" x14ac:dyDescent="0.3">
      <c r="A5" t="s">
        <v>37</v>
      </c>
      <c r="B5">
        <v>22.33</v>
      </c>
      <c r="C5">
        <v>22.541</v>
      </c>
      <c r="D5">
        <f t="shared" si="0"/>
        <v>22.435499999999998</v>
      </c>
      <c r="E5">
        <f t="shared" si="1"/>
        <v>0.149199530830363</v>
      </c>
      <c r="G5" t="s">
        <v>37</v>
      </c>
      <c r="H5">
        <v>31.76953</v>
      </c>
      <c r="I5">
        <v>40</v>
      </c>
      <c r="J5">
        <f t="shared" si="2"/>
        <v>35.884765000000002</v>
      </c>
      <c r="K5">
        <f t="shared" si="3"/>
        <v>5.819821149352407</v>
      </c>
      <c r="L5">
        <f t="shared" si="4"/>
        <v>13.449265000000004</v>
      </c>
      <c r="M5">
        <f t="shared" si="5"/>
        <v>4.1502400000000037</v>
      </c>
      <c r="N5">
        <f t="shared" si="6"/>
        <v>5.6318784204291775E-2</v>
      </c>
    </row>
    <row r="6" spans="1:16" x14ac:dyDescent="0.3">
      <c r="A6" t="s">
        <v>38</v>
      </c>
      <c r="B6">
        <v>24.972000000000001</v>
      </c>
      <c r="C6">
        <v>24.923999999999999</v>
      </c>
      <c r="D6">
        <f t="shared" si="0"/>
        <v>24.948</v>
      </c>
      <c r="E6">
        <f t="shared" si="1"/>
        <v>3.394112549695557E-2</v>
      </c>
      <c r="G6" t="s">
        <v>38</v>
      </c>
      <c r="H6">
        <v>34.456069999999997</v>
      </c>
      <c r="I6">
        <v>40</v>
      </c>
      <c r="J6">
        <f t="shared" si="2"/>
        <v>37.228034999999998</v>
      </c>
      <c r="K6">
        <f t="shared" si="3"/>
        <v>3.9201504974235388</v>
      </c>
      <c r="L6">
        <f t="shared" si="4"/>
        <v>12.280034999999998</v>
      </c>
      <c r="M6">
        <f t="shared" si="5"/>
        <v>2.9810099999999977</v>
      </c>
      <c r="N6">
        <f t="shared" si="6"/>
        <v>0.1266562346027241</v>
      </c>
    </row>
    <row r="7" spans="1:16" x14ac:dyDescent="0.3">
      <c r="A7" t="s">
        <v>74</v>
      </c>
      <c r="B7">
        <v>35.279000000000003</v>
      </c>
      <c r="C7">
        <v>36.277000000000001</v>
      </c>
      <c r="D7">
        <f t="shared" ref="D7:D10" si="7">AVERAGE(B7:C7)</f>
        <v>35.778000000000006</v>
      </c>
      <c r="E7">
        <f t="shared" ref="E7:E10" si="8">STDEV(B7:C7)</f>
        <v>0.70569256762417265</v>
      </c>
      <c r="G7" t="s">
        <v>74</v>
      </c>
    </row>
    <row r="8" spans="1:16" x14ac:dyDescent="0.3">
      <c r="A8" t="s">
        <v>75</v>
      </c>
      <c r="B8">
        <v>37.607999999999997</v>
      </c>
      <c r="C8">
        <v>40</v>
      </c>
      <c r="D8">
        <f t="shared" si="7"/>
        <v>38.804000000000002</v>
      </c>
      <c r="E8">
        <f t="shared" si="8"/>
        <v>1.6913994205982239</v>
      </c>
      <c r="G8" t="s">
        <v>75</v>
      </c>
      <c r="H8">
        <v>39.400230000000001</v>
      </c>
      <c r="I8">
        <v>40</v>
      </c>
      <c r="J8">
        <f t="shared" si="2"/>
        <v>39.700114999999997</v>
      </c>
      <c r="K8">
        <f t="shared" si="3"/>
        <v>0.42410143415225521</v>
      </c>
      <c r="L8">
        <f t="shared" si="4"/>
        <v>0.89611499999999467</v>
      </c>
      <c r="M8">
        <f t="shared" si="5"/>
        <v>-8.4029100000000057</v>
      </c>
      <c r="N8">
        <f t="shared" si="6"/>
        <v>338.47606302227899</v>
      </c>
    </row>
    <row r="9" spans="1:16" x14ac:dyDescent="0.3">
      <c r="A9" t="s">
        <v>42</v>
      </c>
      <c r="B9">
        <v>21.751000000000001</v>
      </c>
      <c r="C9">
        <v>21.715</v>
      </c>
      <c r="D9">
        <f t="shared" si="7"/>
        <v>21.733000000000001</v>
      </c>
      <c r="E9">
        <f t="shared" si="8"/>
        <v>2.5455844122716675E-2</v>
      </c>
      <c r="G9" t="s">
        <v>42</v>
      </c>
      <c r="H9">
        <v>29.798249999999999</v>
      </c>
      <c r="I9">
        <v>38.57911</v>
      </c>
      <c r="J9">
        <f t="shared" si="2"/>
        <v>34.188679999999998</v>
      </c>
      <c r="K9">
        <f t="shared" si="3"/>
        <v>6.2090056506497362</v>
      </c>
      <c r="L9">
        <f t="shared" si="4"/>
        <v>12.455679999999997</v>
      </c>
      <c r="M9">
        <f t="shared" si="5"/>
        <v>3.1566549999999971</v>
      </c>
      <c r="N9">
        <f t="shared" si="6"/>
        <v>0.11213783291949424</v>
      </c>
    </row>
    <row r="10" spans="1:16" x14ac:dyDescent="0.3">
      <c r="A10" t="s">
        <v>43</v>
      </c>
      <c r="B10">
        <v>19.774999999999999</v>
      </c>
      <c r="C10">
        <v>20.036000000000001</v>
      </c>
      <c r="D10">
        <f t="shared" si="7"/>
        <v>19.9055</v>
      </c>
      <c r="E10">
        <f t="shared" si="8"/>
        <v>0.18455486988969089</v>
      </c>
      <c r="G10" t="s">
        <v>43</v>
      </c>
      <c r="H10">
        <v>30.269950000000001</v>
      </c>
      <c r="I10">
        <v>30.199860000000001</v>
      </c>
      <c r="J10">
        <f t="shared" si="2"/>
        <v>30.234905000000001</v>
      </c>
      <c r="K10">
        <f t="shared" si="3"/>
        <v>4.9561114293365419E-2</v>
      </c>
      <c r="L10">
        <f t="shared" si="4"/>
        <v>10.329405000000001</v>
      </c>
      <c r="M10">
        <f t="shared" si="5"/>
        <v>1.030380000000001</v>
      </c>
      <c r="N10">
        <f t="shared" si="6"/>
        <v>0.4895811781199913</v>
      </c>
    </row>
    <row r="11" spans="1:16" x14ac:dyDescent="0.3">
      <c r="A11" t="s">
        <v>44</v>
      </c>
      <c r="B11">
        <v>34.838999999999999</v>
      </c>
      <c r="C11">
        <v>36.228000000000002</v>
      </c>
      <c r="D11">
        <f t="shared" ref="D11:D19" si="9">AVERAGE(B11:C11)</f>
        <v>35.533500000000004</v>
      </c>
      <c r="E11">
        <f t="shared" ref="E11:E19" si="10">STDEV(B11:C11)</f>
        <v>0.98217131906811661</v>
      </c>
      <c r="G11" t="s">
        <v>44</v>
      </c>
    </row>
    <row r="12" spans="1:16" x14ac:dyDescent="0.3">
      <c r="A12" t="s">
        <v>45</v>
      </c>
      <c r="B12">
        <v>21.177</v>
      </c>
      <c r="C12">
        <v>21.169</v>
      </c>
      <c r="D12">
        <f t="shared" si="9"/>
        <v>21.173000000000002</v>
      </c>
      <c r="E12">
        <f t="shared" si="10"/>
        <v>5.6568542494917573E-3</v>
      </c>
      <c r="G12" t="s">
        <v>45</v>
      </c>
      <c r="H12">
        <v>28.940370000000001</v>
      </c>
      <c r="I12">
        <v>28.87839</v>
      </c>
      <c r="J12">
        <f t="shared" si="2"/>
        <v>28.909379999999999</v>
      </c>
      <c r="K12">
        <f t="shared" si="3"/>
        <v>4.3826478297943575E-2</v>
      </c>
      <c r="L12">
        <f t="shared" si="4"/>
        <v>7.7363799999999969</v>
      </c>
      <c r="M12">
        <f t="shared" si="5"/>
        <v>-1.5626450000000034</v>
      </c>
      <c r="N12">
        <f t="shared" si="6"/>
        <v>2.953949167582679</v>
      </c>
    </row>
    <row r="13" spans="1:16" x14ac:dyDescent="0.3">
      <c r="A13" t="s">
        <v>71</v>
      </c>
      <c r="B13">
        <v>22.151</v>
      </c>
      <c r="C13">
        <v>22.198</v>
      </c>
      <c r="D13">
        <f t="shared" si="9"/>
        <v>22.174500000000002</v>
      </c>
      <c r="E13">
        <f t="shared" si="10"/>
        <v>3.3234018715768157E-2</v>
      </c>
      <c r="G13" t="s">
        <v>71</v>
      </c>
      <c r="H13">
        <v>34.454340000000002</v>
      </c>
      <c r="I13">
        <v>40</v>
      </c>
      <c r="J13">
        <f t="shared" si="2"/>
        <v>37.227170000000001</v>
      </c>
      <c r="K13">
        <f t="shared" si="3"/>
        <v>3.9213737921549878</v>
      </c>
      <c r="L13">
        <f t="shared" si="4"/>
        <v>15.052669999999999</v>
      </c>
      <c r="M13">
        <f t="shared" si="5"/>
        <v>5.7536449999999988</v>
      </c>
      <c r="N13">
        <f t="shared" si="6"/>
        <v>1.8534474219303956E-2</v>
      </c>
    </row>
    <row r="14" spans="1:16" x14ac:dyDescent="0.3">
      <c r="A14" t="s">
        <v>72</v>
      </c>
      <c r="B14">
        <v>20.861000000000001</v>
      </c>
      <c r="C14">
        <v>20.757000000000001</v>
      </c>
      <c r="D14">
        <f t="shared" si="9"/>
        <v>20.809000000000001</v>
      </c>
      <c r="E14">
        <f t="shared" si="10"/>
        <v>7.3539105243400377E-2</v>
      </c>
      <c r="G14" t="s">
        <v>72</v>
      </c>
      <c r="H14">
        <v>29.866980000000002</v>
      </c>
      <c r="I14">
        <v>40</v>
      </c>
      <c r="J14">
        <f t="shared" si="2"/>
        <v>34.933489999999999</v>
      </c>
      <c r="K14">
        <f t="shared" si="3"/>
        <v>7.1651271558989524</v>
      </c>
      <c r="L14">
        <f t="shared" si="4"/>
        <v>14.124489999999998</v>
      </c>
      <c r="M14">
        <f t="shared" si="5"/>
        <v>4.8254649999999977</v>
      </c>
      <c r="N14">
        <f t="shared" si="6"/>
        <v>3.5268768220057124E-2</v>
      </c>
    </row>
    <row r="15" spans="1:16" x14ac:dyDescent="0.3">
      <c r="A15" t="s">
        <v>73</v>
      </c>
      <c r="B15">
        <v>21.789000000000001</v>
      </c>
      <c r="C15">
        <v>21.806999999999999</v>
      </c>
      <c r="D15">
        <f t="shared" si="9"/>
        <v>21.798000000000002</v>
      </c>
      <c r="E15">
        <f t="shared" si="10"/>
        <v>1.2727922061355826E-2</v>
      </c>
      <c r="G15" t="s">
        <v>73</v>
      </c>
      <c r="H15">
        <v>31.0078</v>
      </c>
      <c r="I15">
        <v>40</v>
      </c>
      <c r="J15">
        <f t="shared" si="2"/>
        <v>35.503900000000002</v>
      </c>
      <c r="K15">
        <f t="shared" si="3"/>
        <v>6.3584455977856482</v>
      </c>
      <c r="L15">
        <f t="shared" si="4"/>
        <v>13.7059</v>
      </c>
      <c r="M15">
        <f t="shared" si="5"/>
        <v>4.4068749999999994</v>
      </c>
      <c r="N15">
        <f t="shared" si="6"/>
        <v>4.7140961672599312E-2</v>
      </c>
    </row>
    <row r="16" spans="1:16" x14ac:dyDescent="0.3">
      <c r="A16" t="s">
        <v>64</v>
      </c>
      <c r="B16">
        <v>37.405000000000001</v>
      </c>
      <c r="C16">
        <v>36.039000000000001</v>
      </c>
      <c r="D16">
        <f t="shared" si="9"/>
        <v>36.722000000000001</v>
      </c>
      <c r="E16">
        <f t="shared" si="10"/>
        <v>0.96590786310082366</v>
      </c>
      <c r="G16" t="s">
        <v>64</v>
      </c>
      <c r="H16">
        <v>40</v>
      </c>
      <c r="I16">
        <v>40</v>
      </c>
      <c r="J16">
        <f t="shared" si="2"/>
        <v>40</v>
      </c>
      <c r="K16">
        <f t="shared" si="3"/>
        <v>0</v>
      </c>
      <c r="L16">
        <f t="shared" si="4"/>
        <v>3.2779999999999987</v>
      </c>
      <c r="M16">
        <f t="shared" si="5"/>
        <v>-6.0210250000000016</v>
      </c>
      <c r="N16">
        <f t="shared" si="6"/>
        <v>64.939528287699815</v>
      </c>
    </row>
    <row r="17" spans="1:16" x14ac:dyDescent="0.3">
      <c r="A17" t="s">
        <v>65</v>
      </c>
      <c r="B17">
        <v>34.713000000000001</v>
      </c>
      <c r="C17">
        <v>37.057000000000002</v>
      </c>
      <c r="D17">
        <f t="shared" si="9"/>
        <v>35.885000000000005</v>
      </c>
      <c r="E17">
        <f t="shared" si="10"/>
        <v>1.6574582951012682</v>
      </c>
      <c r="G17" t="s">
        <v>65</v>
      </c>
      <c r="H17">
        <v>40</v>
      </c>
      <c r="I17">
        <v>40</v>
      </c>
      <c r="J17">
        <f t="shared" si="2"/>
        <v>40</v>
      </c>
      <c r="K17">
        <f t="shared" si="3"/>
        <v>0</v>
      </c>
      <c r="L17">
        <f t="shared" si="4"/>
        <v>4.1149999999999949</v>
      </c>
      <c r="M17">
        <f t="shared" si="5"/>
        <v>-5.1840250000000054</v>
      </c>
      <c r="N17">
        <f t="shared" si="6"/>
        <v>36.353566427017753</v>
      </c>
    </row>
    <row r="18" spans="1:16" x14ac:dyDescent="0.3">
      <c r="A18" t="s">
        <v>66</v>
      </c>
      <c r="B18">
        <v>21.821999999999999</v>
      </c>
      <c r="C18">
        <v>21.934999999999999</v>
      </c>
      <c r="D18">
        <f t="shared" si="9"/>
        <v>21.878499999999999</v>
      </c>
      <c r="E18">
        <f t="shared" si="10"/>
        <v>7.9903066274079546E-2</v>
      </c>
      <c r="G18" t="s">
        <v>66</v>
      </c>
      <c r="H18">
        <v>31.86497</v>
      </c>
      <c r="I18">
        <v>31.22053</v>
      </c>
      <c r="J18">
        <f t="shared" si="2"/>
        <v>31.542749999999998</v>
      </c>
      <c r="K18">
        <f t="shared" si="3"/>
        <v>0.45568789406785831</v>
      </c>
      <c r="L18">
        <f t="shared" si="4"/>
        <v>9.6642499999999991</v>
      </c>
      <c r="M18">
        <f t="shared" si="5"/>
        <v>0.3652249999999988</v>
      </c>
      <c r="N18">
        <f t="shared" si="6"/>
        <v>0.77634778782096248</v>
      </c>
      <c r="O18">
        <f>AVERAGE(N18:N22)</f>
        <v>1.092537450042161</v>
      </c>
      <c r="P18">
        <f>STDEV(N18:N22)</f>
        <v>0.28631372556290019</v>
      </c>
    </row>
    <row r="19" spans="1:16" x14ac:dyDescent="0.3">
      <c r="A19" t="s">
        <v>67</v>
      </c>
      <c r="B19">
        <v>20.013000000000002</v>
      </c>
      <c r="C19">
        <v>20.114999999999998</v>
      </c>
      <c r="D19">
        <f t="shared" si="9"/>
        <v>20.064</v>
      </c>
      <c r="E19">
        <f t="shared" si="10"/>
        <v>7.2124891681025552E-2</v>
      </c>
      <c r="G19" t="s">
        <v>67</v>
      </c>
      <c r="H19">
        <v>29.097740000000002</v>
      </c>
      <c r="I19">
        <v>29.182690000000001</v>
      </c>
      <c r="J19">
        <f t="shared" si="2"/>
        <v>29.140215000000001</v>
      </c>
      <c r="K19">
        <f t="shared" si="3"/>
        <v>6.0068721061796643E-2</v>
      </c>
      <c r="L19">
        <f t="shared" si="4"/>
        <v>9.0762150000000013</v>
      </c>
      <c r="M19">
        <f t="shared" si="5"/>
        <v>-0.22280999999999906</v>
      </c>
      <c r="N19">
        <f t="shared" si="6"/>
        <v>1.1670043995937907</v>
      </c>
    </row>
    <row r="20" spans="1:16" x14ac:dyDescent="0.3">
      <c r="A20" t="s">
        <v>68</v>
      </c>
      <c r="B20">
        <v>36.926000000000002</v>
      </c>
      <c r="C20">
        <v>35.97</v>
      </c>
      <c r="D20">
        <f t="shared" ref="D20:D21" si="11">AVERAGE(B20:C20)</f>
        <v>36.448</v>
      </c>
      <c r="E20">
        <f t="shared" ref="E20:E21" si="12">STDEV(B20:C20)</f>
        <v>0.67599408281434159</v>
      </c>
      <c r="G20" t="s">
        <v>68</v>
      </c>
    </row>
    <row r="21" spans="1:16" x14ac:dyDescent="0.3">
      <c r="A21" t="s">
        <v>69</v>
      </c>
      <c r="B21">
        <v>21.033999999999999</v>
      </c>
      <c r="C21">
        <v>20.888000000000002</v>
      </c>
      <c r="D21">
        <f t="shared" si="11"/>
        <v>20.960999999999999</v>
      </c>
      <c r="E21">
        <f t="shared" si="12"/>
        <v>0.10323759005323399</v>
      </c>
      <c r="G21" t="s">
        <v>69</v>
      </c>
      <c r="H21">
        <v>29.96359</v>
      </c>
      <c r="I21">
        <v>29.72438</v>
      </c>
      <c r="J21">
        <f t="shared" si="2"/>
        <v>29.843985</v>
      </c>
      <c r="K21">
        <f t="shared" si="3"/>
        <v>0.16914701312763397</v>
      </c>
      <c r="L21">
        <f t="shared" si="4"/>
        <v>8.8829850000000015</v>
      </c>
      <c r="M21">
        <f t="shared" si="5"/>
        <v>-0.41603999999999886</v>
      </c>
      <c r="N21">
        <f t="shared" si="6"/>
        <v>1.3342601627117299</v>
      </c>
    </row>
    <row r="22" spans="1:16" x14ac:dyDescent="0.3">
      <c r="A22" t="s">
        <v>46</v>
      </c>
      <c r="B22">
        <v>35.804000000000002</v>
      </c>
      <c r="C22">
        <v>36.219000000000001</v>
      </c>
      <c r="D22">
        <f t="shared" ref="D22:D39" si="13">AVERAGE(B22:C22)</f>
        <v>36.011499999999998</v>
      </c>
      <c r="E22">
        <f t="shared" ref="E22:E39" si="14">STDEV(B22:C22)</f>
        <v>0.2934493141924166</v>
      </c>
      <c r="G22" t="s">
        <v>46</v>
      </c>
      <c r="O22">
        <f>AVERAGE(N22:N26)</f>
        <v>1.0604485300798663</v>
      </c>
      <c r="P22">
        <f>STDEV(N22:N26)</f>
        <v>0.14853425600588466</v>
      </c>
    </row>
    <row r="23" spans="1:16" x14ac:dyDescent="0.3">
      <c r="A23" t="s">
        <v>47</v>
      </c>
      <c r="B23">
        <v>20.809000000000001</v>
      </c>
      <c r="C23">
        <v>20.876000000000001</v>
      </c>
      <c r="D23">
        <f t="shared" si="13"/>
        <v>20.842500000000001</v>
      </c>
      <c r="E23">
        <f t="shared" si="14"/>
        <v>4.7376154339498801E-2</v>
      </c>
      <c r="G23" t="s">
        <v>47</v>
      </c>
      <c r="H23">
        <v>30.585840000000001</v>
      </c>
      <c r="I23">
        <v>30.012619999999998</v>
      </c>
      <c r="J23">
        <f t="shared" si="2"/>
        <v>30.299230000000001</v>
      </c>
      <c r="K23">
        <f t="shared" si="3"/>
        <v>0.40532774911175468</v>
      </c>
      <c r="L23">
        <f t="shared" si="4"/>
        <v>9.4567300000000003</v>
      </c>
      <c r="M23">
        <f t="shared" si="5"/>
        <v>0.15770499999999998</v>
      </c>
      <c r="N23">
        <f t="shared" si="6"/>
        <v>0.89644998550484711</v>
      </c>
    </row>
    <row r="24" spans="1:16" x14ac:dyDescent="0.3">
      <c r="A24" t="s">
        <v>48</v>
      </c>
      <c r="B24">
        <v>20.353999999999999</v>
      </c>
      <c r="C24">
        <v>20.495999999999999</v>
      </c>
      <c r="D24">
        <f t="shared" si="13"/>
        <v>20.424999999999997</v>
      </c>
      <c r="E24">
        <f t="shared" si="14"/>
        <v>0.10040916292848936</v>
      </c>
      <c r="G24" t="s">
        <v>48</v>
      </c>
      <c r="H24">
        <v>29.811219999999999</v>
      </c>
      <c r="I24">
        <v>29.364540000000002</v>
      </c>
      <c r="J24">
        <f t="shared" si="2"/>
        <v>29.587879999999998</v>
      </c>
      <c r="K24">
        <f t="shared" si="3"/>
        <v>0.31585045702040498</v>
      </c>
      <c r="L24">
        <f t="shared" si="4"/>
        <v>9.1628800000000012</v>
      </c>
      <c r="M24">
        <f t="shared" si="5"/>
        <v>-0.13614499999999907</v>
      </c>
      <c r="N24">
        <f t="shared" si="6"/>
        <v>1.0989646649440166</v>
      </c>
    </row>
    <row r="25" spans="1:16" x14ac:dyDescent="0.3">
      <c r="A25" t="s">
        <v>49</v>
      </c>
      <c r="B25">
        <v>22.771000000000001</v>
      </c>
      <c r="C25">
        <v>22.640999999999998</v>
      </c>
      <c r="D25">
        <f t="shared" si="13"/>
        <v>22.706</v>
      </c>
      <c r="E25">
        <f t="shared" si="14"/>
        <v>9.192388155425299E-2</v>
      </c>
      <c r="G25" t="s">
        <v>49</v>
      </c>
      <c r="H25">
        <v>31.546569999999999</v>
      </c>
      <c r="I25">
        <v>31.971440000000001</v>
      </c>
      <c r="J25">
        <f t="shared" si="2"/>
        <v>31.759005000000002</v>
      </c>
      <c r="K25">
        <f t="shared" si="3"/>
        <v>0.30042845812272989</v>
      </c>
      <c r="L25">
        <f t="shared" si="4"/>
        <v>9.0530050000000024</v>
      </c>
      <c r="M25">
        <f t="shared" si="5"/>
        <v>-0.24601999999999791</v>
      </c>
      <c r="N25">
        <f t="shared" si="6"/>
        <v>1.1859309397907349</v>
      </c>
    </row>
    <row r="26" spans="1:16" x14ac:dyDescent="0.3">
      <c r="A26" t="s">
        <v>50</v>
      </c>
      <c r="B26">
        <v>37.418999999999997</v>
      </c>
      <c r="C26">
        <v>36.735999999999997</v>
      </c>
      <c r="D26">
        <f t="shared" si="13"/>
        <v>37.077500000000001</v>
      </c>
      <c r="E26">
        <f t="shared" si="14"/>
        <v>0.48295393155041183</v>
      </c>
      <c r="G26" t="s">
        <v>50</v>
      </c>
    </row>
    <row r="27" spans="1:16" x14ac:dyDescent="0.3">
      <c r="A27" t="s">
        <v>51</v>
      </c>
      <c r="B27">
        <v>20.065999999999999</v>
      </c>
      <c r="C27">
        <v>19.899999999999999</v>
      </c>
      <c r="D27">
        <f t="shared" si="13"/>
        <v>19.982999999999997</v>
      </c>
      <c r="E27">
        <f t="shared" si="14"/>
        <v>0.11737972567696715</v>
      </c>
      <c r="G27" t="s">
        <v>51</v>
      </c>
      <c r="H27">
        <v>27.632180000000002</v>
      </c>
      <c r="I27">
        <v>27.455030000000001</v>
      </c>
      <c r="J27">
        <f t="shared" si="2"/>
        <v>27.543604999999999</v>
      </c>
      <c r="K27">
        <f t="shared" si="3"/>
        <v>0.1252639662871976</v>
      </c>
      <c r="L27">
        <f t="shared" si="4"/>
        <v>7.5606050000000025</v>
      </c>
      <c r="M27">
        <f t="shared" si="5"/>
        <v>-1.7384199999999979</v>
      </c>
      <c r="N27">
        <f t="shared" si="6"/>
        <v>3.3366954187471078</v>
      </c>
      <c r="O27">
        <f>AVERAGE(N27:N33)</f>
        <v>3.0512551290140038</v>
      </c>
      <c r="P27">
        <f>STDEV(N27:N33)</f>
        <v>3.6346386855448096</v>
      </c>
    </row>
    <row r="28" spans="1:16" x14ac:dyDescent="0.3">
      <c r="A28" t="s">
        <v>52</v>
      </c>
      <c r="B28">
        <v>21.966999999999999</v>
      </c>
      <c r="C28">
        <v>22.084</v>
      </c>
      <c r="D28">
        <f t="shared" si="13"/>
        <v>22.025500000000001</v>
      </c>
      <c r="E28">
        <f t="shared" si="14"/>
        <v>8.2731493398826683E-2</v>
      </c>
      <c r="G28" t="s">
        <v>52</v>
      </c>
      <c r="H28">
        <v>28.2532</v>
      </c>
      <c r="I28">
        <v>27.755369999999999</v>
      </c>
      <c r="J28">
        <f t="shared" si="2"/>
        <v>28.004284999999999</v>
      </c>
      <c r="K28">
        <f t="shared" si="3"/>
        <v>0.35201896887809925</v>
      </c>
      <c r="L28">
        <f t="shared" si="4"/>
        <v>5.9787849999999985</v>
      </c>
      <c r="M28">
        <f t="shared" si="5"/>
        <v>-3.3202400000000019</v>
      </c>
      <c r="N28">
        <f t="shared" si="6"/>
        <v>9.9883058608629636</v>
      </c>
    </row>
    <row r="29" spans="1:16" x14ac:dyDescent="0.3">
      <c r="A29" t="s">
        <v>53</v>
      </c>
      <c r="B29">
        <v>20.794</v>
      </c>
      <c r="C29">
        <v>20.931000000000001</v>
      </c>
      <c r="D29">
        <f t="shared" si="13"/>
        <v>20.862500000000001</v>
      </c>
      <c r="E29">
        <f t="shared" si="14"/>
        <v>9.6873629022557334E-2</v>
      </c>
      <c r="G29" t="s">
        <v>53</v>
      </c>
      <c r="H29">
        <v>29.03284</v>
      </c>
      <c r="I29">
        <v>29.534790000000001</v>
      </c>
      <c r="J29">
        <f t="shared" si="2"/>
        <v>29.283815000000001</v>
      </c>
      <c r="K29">
        <f t="shared" si="3"/>
        <v>0.35493224881658808</v>
      </c>
      <c r="L29">
        <f t="shared" si="4"/>
        <v>8.4213149999999999</v>
      </c>
      <c r="M29">
        <f t="shared" si="5"/>
        <v>-0.87771000000000043</v>
      </c>
      <c r="N29">
        <f t="shared" si="6"/>
        <v>1.8374563777981661</v>
      </c>
    </row>
    <row r="30" spans="1:16" x14ac:dyDescent="0.3">
      <c r="A30" t="s">
        <v>54</v>
      </c>
      <c r="B30">
        <v>30.928999999999998</v>
      </c>
      <c r="C30">
        <v>34.701000000000001</v>
      </c>
      <c r="D30">
        <f t="shared" si="13"/>
        <v>32.814999999999998</v>
      </c>
      <c r="E30">
        <f t="shared" si="14"/>
        <v>2.6672067786356588</v>
      </c>
      <c r="G30" t="s">
        <v>54</v>
      </c>
    </row>
    <row r="31" spans="1:16" x14ac:dyDescent="0.3">
      <c r="A31" t="s">
        <v>55</v>
      </c>
      <c r="B31">
        <v>22.978999999999999</v>
      </c>
      <c r="C31">
        <v>22.974</v>
      </c>
      <c r="D31">
        <f t="shared" si="13"/>
        <v>22.976500000000001</v>
      </c>
      <c r="E31">
        <f t="shared" si="14"/>
        <v>3.5355339059320342E-3</v>
      </c>
      <c r="G31" t="s">
        <v>55</v>
      </c>
      <c r="H31">
        <v>34.61271</v>
      </c>
      <c r="I31">
        <v>34.31476</v>
      </c>
      <c r="J31">
        <f t="shared" si="2"/>
        <v>34.463735</v>
      </c>
      <c r="K31">
        <f t="shared" si="3"/>
        <v>0.21068246545453195</v>
      </c>
      <c r="L31">
        <f t="shared" si="4"/>
        <v>11.487234999999998</v>
      </c>
      <c r="M31">
        <f t="shared" si="5"/>
        <v>2.188209999999998</v>
      </c>
      <c r="N31">
        <f t="shared" si="6"/>
        <v>0.21942350759271345</v>
      </c>
    </row>
    <row r="32" spans="1:16" x14ac:dyDescent="0.3">
      <c r="A32" t="s">
        <v>56</v>
      </c>
      <c r="B32">
        <v>21.728000000000002</v>
      </c>
      <c r="C32">
        <v>21.516999999999999</v>
      </c>
      <c r="D32">
        <f t="shared" si="13"/>
        <v>21.622500000000002</v>
      </c>
      <c r="E32">
        <f t="shared" si="14"/>
        <v>0.149199530830363</v>
      </c>
      <c r="G32" t="s">
        <v>56</v>
      </c>
      <c r="H32">
        <v>29.294519999999999</v>
      </c>
      <c r="I32">
        <v>29.630400000000002</v>
      </c>
      <c r="J32">
        <f t="shared" si="2"/>
        <v>29.46246</v>
      </c>
      <c r="K32">
        <f t="shared" si="3"/>
        <v>0.23750302566493975</v>
      </c>
      <c r="L32">
        <f t="shared" si="4"/>
        <v>7.8399599999999978</v>
      </c>
      <c r="M32">
        <f t="shared" si="5"/>
        <v>-1.4590650000000025</v>
      </c>
      <c r="N32">
        <f t="shared" si="6"/>
        <v>2.7493012569306412</v>
      </c>
    </row>
    <row r="33" spans="1:16" x14ac:dyDescent="0.3">
      <c r="A33" t="s">
        <v>57</v>
      </c>
      <c r="B33">
        <v>21.073</v>
      </c>
      <c r="C33">
        <v>21.155999999999999</v>
      </c>
      <c r="D33">
        <f t="shared" si="13"/>
        <v>21.1145</v>
      </c>
      <c r="E33">
        <f t="shared" si="14"/>
        <v>5.8689862838482321E-2</v>
      </c>
      <c r="G33" t="s">
        <v>57</v>
      </c>
      <c r="H33">
        <v>33.281010000000002</v>
      </c>
      <c r="I33">
        <v>32.553040000000003</v>
      </c>
      <c r="J33">
        <f t="shared" si="2"/>
        <v>32.917025000000002</v>
      </c>
      <c r="K33">
        <f t="shared" si="3"/>
        <v>0.51475252350037037</v>
      </c>
      <c r="L33">
        <f t="shared" si="4"/>
        <v>11.802525000000003</v>
      </c>
      <c r="M33">
        <f t="shared" si="5"/>
        <v>2.5035000000000025</v>
      </c>
      <c r="N33">
        <f t="shared" si="6"/>
        <v>0.17634835215243005</v>
      </c>
      <c r="O33">
        <f>AVERAGE(N33:N39)</f>
        <v>0.18170779631510173</v>
      </c>
      <c r="P33">
        <f>STDEV(N33:N39)</f>
        <v>0.10852915187217872</v>
      </c>
    </row>
    <row r="34" spans="1:16" x14ac:dyDescent="0.3">
      <c r="A34" t="s">
        <v>58</v>
      </c>
      <c r="B34">
        <v>22.228000000000002</v>
      </c>
      <c r="C34">
        <v>22.114999999999998</v>
      </c>
      <c r="D34">
        <f t="shared" si="13"/>
        <v>22.171500000000002</v>
      </c>
      <c r="E34">
        <f t="shared" si="14"/>
        <v>7.9903066274082057E-2</v>
      </c>
      <c r="G34" t="s">
        <v>58</v>
      </c>
      <c r="H34">
        <v>33.53396</v>
      </c>
      <c r="I34">
        <v>32.547159999999998</v>
      </c>
      <c r="J34">
        <f t="shared" si="2"/>
        <v>33.040559999999999</v>
      </c>
      <c r="K34">
        <f t="shared" si="3"/>
        <v>0.69777297167488672</v>
      </c>
      <c r="L34">
        <f t="shared" si="4"/>
        <v>10.869059999999998</v>
      </c>
      <c r="M34">
        <f t="shared" si="5"/>
        <v>1.5700349999999972</v>
      </c>
      <c r="N34">
        <f t="shared" si="6"/>
        <v>0.33680022329292814</v>
      </c>
    </row>
    <row r="35" spans="1:16" x14ac:dyDescent="0.3">
      <c r="A35" t="s">
        <v>59</v>
      </c>
      <c r="B35">
        <v>20.256</v>
      </c>
      <c r="C35">
        <v>20.065999999999999</v>
      </c>
      <c r="D35">
        <f t="shared" si="13"/>
        <v>20.161000000000001</v>
      </c>
      <c r="E35">
        <f t="shared" si="14"/>
        <v>0.13435028842544494</v>
      </c>
      <c r="G35" t="s">
        <v>59</v>
      </c>
      <c r="H35">
        <v>32.86551</v>
      </c>
      <c r="I35">
        <v>32.636029999999998</v>
      </c>
      <c r="J35">
        <f t="shared" si="2"/>
        <v>32.750770000000003</v>
      </c>
      <c r="K35">
        <f t="shared" si="3"/>
        <v>0.16226686414669059</v>
      </c>
      <c r="L35">
        <f t="shared" si="4"/>
        <v>12.589770000000001</v>
      </c>
      <c r="M35">
        <f t="shared" si="5"/>
        <v>3.2907450000000011</v>
      </c>
      <c r="N35">
        <f t="shared" si="6"/>
        <v>0.10218497591805366</v>
      </c>
    </row>
    <row r="36" spans="1:16" x14ac:dyDescent="0.3">
      <c r="A36" t="s">
        <v>60</v>
      </c>
      <c r="B36">
        <v>20.591000000000001</v>
      </c>
      <c r="C36">
        <v>20.524000000000001</v>
      </c>
      <c r="D36">
        <f t="shared" si="13"/>
        <v>20.557500000000001</v>
      </c>
      <c r="E36">
        <f t="shared" si="14"/>
        <v>4.7376154339498801E-2</v>
      </c>
      <c r="G36" t="s">
        <v>60</v>
      </c>
      <c r="H36">
        <v>40</v>
      </c>
      <c r="J36">
        <f t="shared" si="2"/>
        <v>40</v>
      </c>
      <c r="K36" t="e">
        <f t="shared" si="3"/>
        <v>#DIV/0!</v>
      </c>
      <c r="L36">
        <f t="shared" si="4"/>
        <v>19.442499999999999</v>
      </c>
      <c r="M36">
        <f t="shared" si="5"/>
        <v>10.143474999999999</v>
      </c>
    </row>
    <row r="37" spans="1:16" x14ac:dyDescent="0.3">
      <c r="A37" t="s">
        <v>61</v>
      </c>
      <c r="B37">
        <v>36.838999999999999</v>
      </c>
      <c r="C37">
        <v>36.744</v>
      </c>
      <c r="D37">
        <f t="shared" si="13"/>
        <v>36.791499999999999</v>
      </c>
      <c r="E37">
        <f t="shared" si="14"/>
        <v>6.7175144212721208E-2</v>
      </c>
      <c r="G37" t="s">
        <v>61</v>
      </c>
    </row>
    <row r="38" spans="1:16" x14ac:dyDescent="0.3">
      <c r="A38" t="s">
        <v>62</v>
      </c>
      <c r="B38">
        <v>20.292999999999999</v>
      </c>
      <c r="C38">
        <v>20.262</v>
      </c>
      <c r="D38">
        <f t="shared" si="13"/>
        <v>20.2775</v>
      </c>
      <c r="E38">
        <f t="shared" si="14"/>
        <v>2.1920310216782129E-2</v>
      </c>
      <c r="G38" t="s">
        <v>62</v>
      </c>
      <c r="H38">
        <v>33.367159999999998</v>
      </c>
      <c r="I38">
        <v>32.115720000000003</v>
      </c>
      <c r="J38">
        <f t="shared" si="2"/>
        <v>32.741439999999997</v>
      </c>
      <c r="K38">
        <f t="shared" si="3"/>
        <v>0.88490171024808961</v>
      </c>
      <c r="L38">
        <f t="shared" si="4"/>
        <v>12.463939999999997</v>
      </c>
      <c r="M38">
        <f t="shared" si="5"/>
        <v>3.164914999999997</v>
      </c>
      <c r="N38">
        <f t="shared" si="6"/>
        <v>0.11149763389699512</v>
      </c>
    </row>
    <row r="39" spans="1:16" x14ac:dyDescent="0.3">
      <c r="A39" t="s">
        <v>63</v>
      </c>
      <c r="B39">
        <v>22.442</v>
      </c>
      <c r="C39">
        <v>21.396000000000001</v>
      </c>
      <c r="D39">
        <f t="shared" si="13"/>
        <v>21.919</v>
      </c>
      <c r="E39">
        <f t="shared" si="14"/>
        <v>0.73963369312112826</v>
      </c>
      <c r="G39" t="s">
        <v>63</v>
      </c>
      <c r="H39">
        <v>31.14283</v>
      </c>
      <c r="I39">
        <v>31.293220000000002</v>
      </c>
      <c r="J39">
        <f t="shared" si="2"/>
        <v>31.218025000000001</v>
      </c>
      <c r="K39">
        <f t="shared" si="3"/>
        <v>0.106341788822646</v>
      </c>
      <c r="L39">
        <f t="shared" si="4"/>
        <v>9.2990250000000003</v>
      </c>
      <c r="M39">
        <f t="shared" si="5"/>
        <v>0</v>
      </c>
    </row>
  </sheetData>
  <phoneticPr fontId="2" type="noConversion"/>
  <conditionalFormatting sqref="A3:A6">
    <cfRule type="cellIs" dxfId="5" priority="1" operator="lessThan">
      <formula>24.99</formula>
    </cfRule>
  </conditionalFormatting>
  <conditionalFormatting sqref="A1:C39">
    <cfRule type="cellIs" dxfId="4" priority="2" operator="lessThan">
      <formula>24.99</formula>
    </cfRule>
    <cfRule type="cellIs" dxfId="3" priority="3" operator="greaterThan">
      <formula>25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78CA-3DEC-4240-9821-8A9D7E081592}">
  <dimension ref="A1:R39"/>
  <sheetViews>
    <sheetView tabSelected="1" zoomScale="65" workbookViewId="0">
      <selection activeCell="R19" sqref="R19"/>
    </sheetView>
  </sheetViews>
  <sheetFormatPr defaultRowHeight="14.4" x14ac:dyDescent="0.3"/>
  <sheetData>
    <row r="1" spans="1:18" x14ac:dyDescent="0.3">
      <c r="A1" t="s">
        <v>34</v>
      </c>
      <c r="G1" t="s">
        <v>76</v>
      </c>
    </row>
    <row r="2" spans="1:18" x14ac:dyDescent="0.3">
      <c r="A2" t="s">
        <v>78</v>
      </c>
      <c r="B2" t="s">
        <v>79</v>
      </c>
      <c r="C2" t="s">
        <v>80</v>
      </c>
      <c r="D2" t="s">
        <v>81</v>
      </c>
      <c r="E2" t="s">
        <v>87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29</v>
      </c>
      <c r="M2" t="s">
        <v>30</v>
      </c>
      <c r="N2" t="s">
        <v>31</v>
      </c>
      <c r="O2" t="s">
        <v>1</v>
      </c>
      <c r="P2" t="s">
        <v>89</v>
      </c>
      <c r="R2" t="s">
        <v>90</v>
      </c>
    </row>
    <row r="3" spans="1:18" x14ac:dyDescent="0.3">
      <c r="A3" t="s">
        <v>35</v>
      </c>
      <c r="B3">
        <v>21.913</v>
      </c>
      <c r="C3">
        <v>21.792999999999999</v>
      </c>
      <c r="D3">
        <f>AVERAGE(B3:C3)</f>
        <v>21.853000000000002</v>
      </c>
      <c r="E3">
        <f>STDEV(B3:C3)</f>
        <v>8.4852813742386402E-2</v>
      </c>
      <c r="G3" t="s">
        <v>35</v>
      </c>
      <c r="H3">
        <v>33.345399999999998</v>
      </c>
      <c r="J3">
        <f>AVERAGE(H3:I3)</f>
        <v>33.345399999999998</v>
      </c>
      <c r="K3" t="e">
        <f>STDEV(H3:I3)</f>
        <v>#DIV/0!</v>
      </c>
      <c r="L3">
        <f>J3-D3</f>
        <v>11.492399999999996</v>
      </c>
      <c r="M3">
        <f>L3-$L$39</f>
        <v>2.1933749999999961</v>
      </c>
      <c r="N3">
        <f>2^-M3</f>
        <v>0.21863935287064801</v>
      </c>
      <c r="O3">
        <f>AVERAGE(N3:N6)</f>
        <v>0.54790173083784577</v>
      </c>
      <c r="P3">
        <f>STDEV(N3:N6)</f>
        <v>0.4341440435925204</v>
      </c>
      <c r="R3" t="s">
        <v>91</v>
      </c>
    </row>
    <row r="4" spans="1:18" x14ac:dyDescent="0.3">
      <c r="A4" t="s">
        <v>36</v>
      </c>
      <c r="B4">
        <v>21.957000000000001</v>
      </c>
      <c r="C4">
        <v>21.975000000000001</v>
      </c>
      <c r="D4">
        <f t="shared" ref="D4:D39" si="0">AVERAGE(B4:C4)</f>
        <v>21.966000000000001</v>
      </c>
      <c r="E4">
        <f t="shared" ref="E4:E39" si="1">STDEV(B4:C4)</f>
        <v>1.2727922061358338E-2</v>
      </c>
      <c r="G4" t="s">
        <v>36</v>
      </c>
      <c r="H4">
        <v>29.640889999999999</v>
      </c>
      <c r="I4">
        <v>38.735669999999999</v>
      </c>
      <c r="J4">
        <f t="shared" ref="J4:J39" si="2">AVERAGE(H4:I4)</f>
        <v>34.188279999999999</v>
      </c>
      <c r="K4">
        <f t="shared" ref="K4:K39" si="3">STDEV(H4:I4)</f>
        <v>6.4309806113997903</v>
      </c>
      <c r="L4">
        <f t="shared" ref="L4:L39" si="4">J4-D4</f>
        <v>12.222279999999998</v>
      </c>
      <c r="M4">
        <f t="shared" ref="M4:M39" si="5">L4-$L$39</f>
        <v>2.9232549999999975</v>
      </c>
      <c r="N4">
        <f t="shared" ref="N4:N38" si="6">2^-M4</f>
        <v>0.13182948637873043</v>
      </c>
      <c r="R4" t="s">
        <v>92</v>
      </c>
    </row>
    <row r="5" spans="1:18" x14ac:dyDescent="0.3">
      <c r="A5" t="s">
        <v>37</v>
      </c>
      <c r="B5">
        <v>22.33</v>
      </c>
      <c r="C5">
        <v>22.541</v>
      </c>
      <c r="D5">
        <f t="shared" si="0"/>
        <v>22.435499999999998</v>
      </c>
      <c r="E5">
        <f t="shared" si="1"/>
        <v>0.149199530830363</v>
      </c>
      <c r="G5" t="s">
        <v>37</v>
      </c>
      <c r="H5">
        <v>31.76953</v>
      </c>
      <c r="J5">
        <f t="shared" si="2"/>
        <v>31.76953</v>
      </c>
      <c r="K5" t="e">
        <f t="shared" si="3"/>
        <v>#DIV/0!</v>
      </c>
      <c r="L5">
        <f t="shared" si="4"/>
        <v>9.334030000000002</v>
      </c>
      <c r="M5">
        <f t="shared" si="5"/>
        <v>3.5005000000001729E-2</v>
      </c>
      <c r="N5">
        <f t="shared" si="6"/>
        <v>0.97602837811376952</v>
      </c>
    </row>
    <row r="6" spans="1:18" x14ac:dyDescent="0.3">
      <c r="A6" t="s">
        <v>38</v>
      </c>
      <c r="B6">
        <v>24.972000000000001</v>
      </c>
      <c r="C6">
        <v>24.923999999999999</v>
      </c>
      <c r="D6">
        <f t="shared" si="0"/>
        <v>24.948</v>
      </c>
      <c r="E6">
        <f t="shared" si="1"/>
        <v>3.394112549695557E-2</v>
      </c>
      <c r="G6" t="s">
        <v>38</v>
      </c>
      <c r="H6">
        <v>34.456069999999997</v>
      </c>
      <c r="J6">
        <f t="shared" si="2"/>
        <v>34.456069999999997</v>
      </c>
      <c r="K6" t="e">
        <f t="shared" si="3"/>
        <v>#DIV/0!</v>
      </c>
      <c r="L6">
        <f t="shared" si="4"/>
        <v>9.5080699999999965</v>
      </c>
      <c r="M6">
        <f t="shared" si="5"/>
        <v>0.20904499999999615</v>
      </c>
      <c r="N6">
        <f t="shared" si="6"/>
        <v>0.865109705988235</v>
      </c>
      <c r="R6" t="s">
        <v>93</v>
      </c>
    </row>
    <row r="7" spans="1:18" x14ac:dyDescent="0.3">
      <c r="A7" t="s">
        <v>74</v>
      </c>
      <c r="B7">
        <v>35.279000000000003</v>
      </c>
      <c r="C7">
        <v>36.277000000000001</v>
      </c>
      <c r="D7">
        <f t="shared" si="0"/>
        <v>35.778000000000006</v>
      </c>
      <c r="E7">
        <f t="shared" si="1"/>
        <v>0.70569256762417265</v>
      </c>
      <c r="G7" t="s">
        <v>74</v>
      </c>
    </row>
    <row r="8" spans="1:18" x14ac:dyDescent="0.3">
      <c r="A8" t="s">
        <v>75</v>
      </c>
      <c r="B8">
        <v>37.607999999999997</v>
      </c>
      <c r="C8">
        <v>40</v>
      </c>
      <c r="D8">
        <f t="shared" si="0"/>
        <v>38.804000000000002</v>
      </c>
      <c r="E8">
        <f t="shared" si="1"/>
        <v>1.6913994205982239</v>
      </c>
      <c r="G8" t="s">
        <v>75</v>
      </c>
      <c r="H8">
        <v>39.400230000000001</v>
      </c>
      <c r="J8">
        <f t="shared" si="2"/>
        <v>39.400230000000001</v>
      </c>
      <c r="K8" t="e">
        <f t="shared" si="3"/>
        <v>#DIV/0!</v>
      </c>
      <c r="L8">
        <f t="shared" si="4"/>
        <v>0.59622999999999848</v>
      </c>
      <c r="M8">
        <f t="shared" si="5"/>
        <v>-8.7027950000000018</v>
      </c>
      <c r="N8">
        <f t="shared" si="6"/>
        <v>416.67969837585008</v>
      </c>
    </row>
    <row r="9" spans="1:18" x14ac:dyDescent="0.3">
      <c r="A9" t="s">
        <v>42</v>
      </c>
      <c r="B9">
        <v>21.751000000000001</v>
      </c>
      <c r="C9">
        <v>21.715</v>
      </c>
      <c r="D9">
        <f t="shared" si="0"/>
        <v>21.733000000000001</v>
      </c>
      <c r="E9">
        <f t="shared" si="1"/>
        <v>2.5455844122716675E-2</v>
      </c>
      <c r="G9" t="s">
        <v>42</v>
      </c>
      <c r="H9">
        <v>29.798249999999999</v>
      </c>
      <c r="I9">
        <v>38.57911</v>
      </c>
      <c r="J9">
        <f t="shared" si="2"/>
        <v>34.188679999999998</v>
      </c>
      <c r="K9">
        <f t="shared" si="3"/>
        <v>6.2090056506497362</v>
      </c>
      <c r="L9">
        <f t="shared" si="4"/>
        <v>12.455679999999997</v>
      </c>
      <c r="M9">
        <f t="shared" si="5"/>
        <v>3.1566549999999971</v>
      </c>
      <c r="N9">
        <f t="shared" si="6"/>
        <v>0.11213783291949424</v>
      </c>
      <c r="O9">
        <f>AVERAGE(N9:N12)</f>
        <v>1.1852227262073882</v>
      </c>
      <c r="P9">
        <f>STDEV(N9:N11)</f>
        <v>0.26689274890500636</v>
      </c>
    </row>
    <row r="10" spans="1:18" x14ac:dyDescent="0.3">
      <c r="A10" t="s">
        <v>43</v>
      </c>
      <c r="B10">
        <v>19.774999999999999</v>
      </c>
      <c r="C10">
        <v>20.036000000000001</v>
      </c>
      <c r="D10">
        <f t="shared" si="0"/>
        <v>19.9055</v>
      </c>
      <c r="E10">
        <f t="shared" si="1"/>
        <v>0.18455486988969089</v>
      </c>
      <c r="G10" t="s">
        <v>43</v>
      </c>
      <c r="H10">
        <v>30.269950000000001</v>
      </c>
      <c r="I10">
        <v>30.199860000000001</v>
      </c>
      <c r="J10">
        <f t="shared" si="2"/>
        <v>30.234905000000001</v>
      </c>
      <c r="K10">
        <f t="shared" si="3"/>
        <v>4.9561114293365419E-2</v>
      </c>
      <c r="L10">
        <f t="shared" si="4"/>
        <v>10.329405000000001</v>
      </c>
      <c r="M10">
        <f t="shared" si="5"/>
        <v>1.030380000000001</v>
      </c>
      <c r="N10">
        <f t="shared" si="6"/>
        <v>0.4895811781199913</v>
      </c>
    </row>
    <row r="11" spans="1:18" x14ac:dyDescent="0.3">
      <c r="A11" t="s">
        <v>44</v>
      </c>
      <c r="B11">
        <v>34.838999999999999</v>
      </c>
      <c r="C11">
        <v>36.228000000000002</v>
      </c>
      <c r="D11">
        <f t="shared" si="0"/>
        <v>35.533500000000004</v>
      </c>
      <c r="E11">
        <f t="shared" si="1"/>
        <v>0.98217131906811661</v>
      </c>
      <c r="G11" t="s">
        <v>44</v>
      </c>
    </row>
    <row r="12" spans="1:18" x14ac:dyDescent="0.3">
      <c r="A12" t="s">
        <v>45</v>
      </c>
      <c r="B12">
        <v>21.177</v>
      </c>
      <c r="C12">
        <v>21.169</v>
      </c>
      <c r="D12">
        <f t="shared" si="0"/>
        <v>21.173000000000002</v>
      </c>
      <c r="E12">
        <f t="shared" si="1"/>
        <v>5.6568542494917573E-3</v>
      </c>
      <c r="G12" t="s">
        <v>45</v>
      </c>
      <c r="H12">
        <v>28.940370000000001</v>
      </c>
      <c r="I12">
        <v>28.87839</v>
      </c>
      <c r="J12">
        <f t="shared" si="2"/>
        <v>28.909379999999999</v>
      </c>
      <c r="K12">
        <f t="shared" si="3"/>
        <v>4.3826478297943575E-2</v>
      </c>
      <c r="L12">
        <f t="shared" si="4"/>
        <v>7.7363799999999969</v>
      </c>
      <c r="M12">
        <f t="shared" si="5"/>
        <v>-1.5626450000000034</v>
      </c>
      <c r="N12">
        <f t="shared" si="6"/>
        <v>2.953949167582679</v>
      </c>
    </row>
    <row r="13" spans="1:18" x14ac:dyDescent="0.3">
      <c r="A13" t="s">
        <v>71</v>
      </c>
      <c r="B13">
        <v>22.151</v>
      </c>
      <c r="C13">
        <v>22.198</v>
      </c>
      <c r="D13">
        <f t="shared" si="0"/>
        <v>22.174500000000002</v>
      </c>
      <c r="E13">
        <f t="shared" si="1"/>
        <v>3.3234018715768157E-2</v>
      </c>
      <c r="G13" t="s">
        <v>71</v>
      </c>
      <c r="H13">
        <v>34.454340000000002</v>
      </c>
      <c r="J13">
        <f t="shared" si="2"/>
        <v>34.454340000000002</v>
      </c>
      <c r="K13" t="e">
        <f t="shared" si="3"/>
        <v>#DIV/0!</v>
      </c>
      <c r="L13">
        <f t="shared" si="4"/>
        <v>12.27984</v>
      </c>
      <c r="M13">
        <f t="shared" si="5"/>
        <v>2.9808149999999998</v>
      </c>
      <c r="N13">
        <f t="shared" si="6"/>
        <v>0.1266733550850552</v>
      </c>
      <c r="O13">
        <f>AVERAGE(N13:N15)</f>
        <v>0.79077344439709363</v>
      </c>
      <c r="P13">
        <f>STDEV(N13:N15)</f>
        <v>0.57814845651984947</v>
      </c>
    </row>
    <row r="14" spans="1:18" x14ac:dyDescent="0.3">
      <c r="A14" t="s">
        <v>72</v>
      </c>
      <c r="B14">
        <v>20.861000000000001</v>
      </c>
      <c r="C14">
        <v>20.757000000000001</v>
      </c>
      <c r="D14">
        <f t="shared" si="0"/>
        <v>20.809000000000001</v>
      </c>
      <c r="E14">
        <f t="shared" si="1"/>
        <v>7.3539105243400377E-2</v>
      </c>
      <c r="G14" t="s">
        <v>72</v>
      </c>
      <c r="H14">
        <v>29.866980000000002</v>
      </c>
      <c r="J14">
        <f t="shared" si="2"/>
        <v>29.866980000000002</v>
      </c>
      <c r="K14" t="e">
        <f t="shared" si="3"/>
        <v>#DIV/0!</v>
      </c>
      <c r="L14">
        <f t="shared" si="4"/>
        <v>9.0579800000000006</v>
      </c>
      <c r="M14">
        <f t="shared" si="5"/>
        <v>-0.24104499999999973</v>
      </c>
      <c r="N14">
        <f t="shared" si="6"/>
        <v>1.1818484101296505</v>
      </c>
    </row>
    <row r="15" spans="1:18" x14ac:dyDescent="0.3">
      <c r="A15" t="s">
        <v>73</v>
      </c>
      <c r="B15">
        <v>21.789000000000001</v>
      </c>
      <c r="C15">
        <v>21.806999999999999</v>
      </c>
      <c r="D15">
        <f t="shared" si="0"/>
        <v>21.798000000000002</v>
      </c>
      <c r="E15">
        <f t="shared" si="1"/>
        <v>1.2727922061355826E-2</v>
      </c>
      <c r="G15" t="s">
        <v>73</v>
      </c>
      <c r="H15">
        <v>31.0078</v>
      </c>
      <c r="J15">
        <f t="shared" si="2"/>
        <v>31.0078</v>
      </c>
      <c r="K15" t="e">
        <f t="shared" si="3"/>
        <v>#DIV/0!</v>
      </c>
      <c r="L15">
        <f t="shared" si="4"/>
        <v>9.2097999999999978</v>
      </c>
      <c r="M15">
        <f t="shared" si="5"/>
        <v>-8.9225000000002552E-2</v>
      </c>
      <c r="N15">
        <f t="shared" si="6"/>
        <v>1.0637985679765751</v>
      </c>
    </row>
    <row r="16" spans="1:18" x14ac:dyDescent="0.3">
      <c r="A16" t="s">
        <v>64</v>
      </c>
      <c r="B16">
        <v>37.405000000000001</v>
      </c>
      <c r="C16">
        <v>36.039000000000001</v>
      </c>
      <c r="D16">
        <f t="shared" si="0"/>
        <v>36.722000000000001</v>
      </c>
      <c r="E16">
        <f t="shared" si="1"/>
        <v>0.96590786310082366</v>
      </c>
      <c r="G16" t="s">
        <v>64</v>
      </c>
      <c r="J16" t="e">
        <f t="shared" si="2"/>
        <v>#DIV/0!</v>
      </c>
      <c r="K16" t="e">
        <f t="shared" si="3"/>
        <v>#DIV/0!</v>
      </c>
      <c r="L16" t="e">
        <f t="shared" si="4"/>
        <v>#DIV/0!</v>
      </c>
      <c r="M16" t="e">
        <f t="shared" si="5"/>
        <v>#DIV/0!</v>
      </c>
      <c r="N16" t="e">
        <f t="shared" si="6"/>
        <v>#DIV/0!</v>
      </c>
    </row>
    <row r="17" spans="1:16" x14ac:dyDescent="0.3">
      <c r="A17" t="s">
        <v>65</v>
      </c>
      <c r="B17">
        <v>34.713000000000001</v>
      </c>
      <c r="C17">
        <v>37.057000000000002</v>
      </c>
      <c r="D17">
        <f t="shared" si="0"/>
        <v>35.885000000000005</v>
      </c>
      <c r="E17">
        <f t="shared" si="1"/>
        <v>1.6574582951012682</v>
      </c>
      <c r="G17" t="s">
        <v>65</v>
      </c>
      <c r="J17" t="e">
        <f t="shared" si="2"/>
        <v>#DIV/0!</v>
      </c>
      <c r="K17" t="e">
        <f t="shared" si="3"/>
        <v>#DIV/0!</v>
      </c>
      <c r="L17" t="e">
        <f t="shared" si="4"/>
        <v>#DIV/0!</v>
      </c>
      <c r="M17" t="e">
        <f t="shared" si="5"/>
        <v>#DIV/0!</v>
      </c>
      <c r="N17" t="e">
        <f t="shared" si="6"/>
        <v>#DIV/0!</v>
      </c>
    </row>
    <row r="18" spans="1:16" x14ac:dyDescent="0.3">
      <c r="A18" t="s">
        <v>66</v>
      </c>
      <c r="B18">
        <v>21.821999999999999</v>
      </c>
      <c r="C18">
        <v>21.934999999999999</v>
      </c>
      <c r="D18">
        <f t="shared" si="0"/>
        <v>21.878499999999999</v>
      </c>
      <c r="E18">
        <f t="shared" si="1"/>
        <v>7.9903066274079546E-2</v>
      </c>
      <c r="G18" t="s">
        <v>66</v>
      </c>
      <c r="H18">
        <v>31.86497</v>
      </c>
      <c r="I18">
        <v>31.22053</v>
      </c>
      <c r="J18">
        <f t="shared" si="2"/>
        <v>31.542749999999998</v>
      </c>
      <c r="K18">
        <f t="shared" si="3"/>
        <v>0.45568789406785831</v>
      </c>
      <c r="L18">
        <f t="shared" si="4"/>
        <v>9.6642499999999991</v>
      </c>
      <c r="M18">
        <f t="shared" si="5"/>
        <v>0.3652249999999988</v>
      </c>
      <c r="N18">
        <f t="shared" si="6"/>
        <v>0.77634778782096248</v>
      </c>
      <c r="O18">
        <f>AVERAGE(N18:N22)</f>
        <v>1.092537450042161</v>
      </c>
      <c r="P18">
        <f>STDEV(N18:N22)</f>
        <v>0.28631372556290019</v>
      </c>
    </row>
    <row r="19" spans="1:16" x14ac:dyDescent="0.3">
      <c r="A19" t="s">
        <v>67</v>
      </c>
      <c r="B19">
        <v>20.013000000000002</v>
      </c>
      <c r="C19">
        <v>20.114999999999998</v>
      </c>
      <c r="D19">
        <f t="shared" si="0"/>
        <v>20.064</v>
      </c>
      <c r="E19">
        <f t="shared" si="1"/>
        <v>7.2124891681025552E-2</v>
      </c>
      <c r="G19" t="s">
        <v>67</v>
      </c>
      <c r="H19">
        <v>29.097740000000002</v>
      </c>
      <c r="I19">
        <v>29.182690000000001</v>
      </c>
      <c r="J19">
        <f t="shared" si="2"/>
        <v>29.140215000000001</v>
      </c>
      <c r="K19">
        <f t="shared" si="3"/>
        <v>6.0068721061796643E-2</v>
      </c>
      <c r="L19">
        <f t="shared" si="4"/>
        <v>9.0762150000000013</v>
      </c>
      <c r="M19">
        <f t="shared" si="5"/>
        <v>-0.22280999999999906</v>
      </c>
      <c r="N19">
        <f t="shared" si="6"/>
        <v>1.1670043995937907</v>
      </c>
    </row>
    <row r="20" spans="1:16" x14ac:dyDescent="0.3">
      <c r="A20" t="s">
        <v>68</v>
      </c>
      <c r="B20">
        <v>36.926000000000002</v>
      </c>
      <c r="C20">
        <v>35.97</v>
      </c>
      <c r="D20">
        <f t="shared" si="0"/>
        <v>36.448</v>
      </c>
      <c r="E20">
        <f t="shared" si="1"/>
        <v>0.67599408281434159</v>
      </c>
      <c r="G20" t="s">
        <v>68</v>
      </c>
    </row>
    <row r="21" spans="1:16" x14ac:dyDescent="0.3">
      <c r="A21" t="s">
        <v>69</v>
      </c>
      <c r="B21">
        <v>21.033999999999999</v>
      </c>
      <c r="C21">
        <v>20.888000000000002</v>
      </c>
      <c r="D21">
        <f t="shared" si="0"/>
        <v>20.960999999999999</v>
      </c>
      <c r="E21">
        <f t="shared" si="1"/>
        <v>0.10323759005323399</v>
      </c>
      <c r="G21" t="s">
        <v>69</v>
      </c>
      <c r="H21">
        <v>29.96359</v>
      </c>
      <c r="I21">
        <v>29.72438</v>
      </c>
      <c r="J21">
        <f t="shared" si="2"/>
        <v>29.843985</v>
      </c>
      <c r="K21">
        <f t="shared" si="3"/>
        <v>0.16914701312763397</v>
      </c>
      <c r="L21">
        <f t="shared" si="4"/>
        <v>8.8829850000000015</v>
      </c>
      <c r="M21">
        <f t="shared" si="5"/>
        <v>-0.41603999999999886</v>
      </c>
      <c r="N21">
        <f t="shared" si="6"/>
        <v>1.3342601627117299</v>
      </c>
    </row>
    <row r="22" spans="1:16" x14ac:dyDescent="0.3">
      <c r="A22" t="s">
        <v>46</v>
      </c>
      <c r="B22">
        <v>35.804000000000002</v>
      </c>
      <c r="C22">
        <v>36.219000000000001</v>
      </c>
      <c r="D22">
        <f t="shared" si="0"/>
        <v>36.011499999999998</v>
      </c>
      <c r="E22">
        <f t="shared" si="1"/>
        <v>0.2934493141924166</v>
      </c>
      <c r="G22" t="s">
        <v>46</v>
      </c>
      <c r="O22">
        <f>AVERAGE(N22:N26)</f>
        <v>1.0604485300798663</v>
      </c>
      <c r="P22">
        <f>STDEV(N22:N26)</f>
        <v>0.14853425600588466</v>
      </c>
    </row>
    <row r="23" spans="1:16" x14ac:dyDescent="0.3">
      <c r="A23" t="s">
        <v>47</v>
      </c>
      <c r="B23">
        <v>20.809000000000001</v>
      </c>
      <c r="C23">
        <v>20.876000000000001</v>
      </c>
      <c r="D23">
        <f t="shared" si="0"/>
        <v>20.842500000000001</v>
      </c>
      <c r="E23">
        <f t="shared" si="1"/>
        <v>4.7376154339498801E-2</v>
      </c>
      <c r="G23" t="s">
        <v>47</v>
      </c>
      <c r="H23">
        <v>30.585840000000001</v>
      </c>
      <c r="I23">
        <v>30.012619999999998</v>
      </c>
      <c r="J23">
        <f t="shared" si="2"/>
        <v>30.299230000000001</v>
      </c>
      <c r="K23">
        <f t="shared" si="3"/>
        <v>0.40532774911175468</v>
      </c>
      <c r="L23">
        <f t="shared" si="4"/>
        <v>9.4567300000000003</v>
      </c>
      <c r="M23">
        <f t="shared" si="5"/>
        <v>0.15770499999999998</v>
      </c>
      <c r="N23">
        <f t="shared" si="6"/>
        <v>0.89644998550484711</v>
      </c>
    </row>
    <row r="24" spans="1:16" x14ac:dyDescent="0.3">
      <c r="A24" t="s">
        <v>48</v>
      </c>
      <c r="B24">
        <v>20.353999999999999</v>
      </c>
      <c r="C24">
        <v>20.495999999999999</v>
      </c>
      <c r="D24">
        <f t="shared" si="0"/>
        <v>20.424999999999997</v>
      </c>
      <c r="E24">
        <f t="shared" si="1"/>
        <v>0.10040916292848936</v>
      </c>
      <c r="G24" t="s">
        <v>48</v>
      </c>
      <c r="H24">
        <v>29.811219999999999</v>
      </c>
      <c r="I24">
        <v>29.364540000000002</v>
      </c>
      <c r="J24">
        <f t="shared" si="2"/>
        <v>29.587879999999998</v>
      </c>
      <c r="K24">
        <f t="shared" si="3"/>
        <v>0.31585045702040498</v>
      </c>
      <c r="L24">
        <f t="shared" si="4"/>
        <v>9.1628800000000012</v>
      </c>
      <c r="M24">
        <f t="shared" si="5"/>
        <v>-0.13614499999999907</v>
      </c>
      <c r="N24">
        <f t="shared" si="6"/>
        <v>1.0989646649440166</v>
      </c>
    </row>
    <row r="25" spans="1:16" x14ac:dyDescent="0.3">
      <c r="A25" t="s">
        <v>49</v>
      </c>
      <c r="B25">
        <v>22.771000000000001</v>
      </c>
      <c r="C25">
        <v>22.640999999999998</v>
      </c>
      <c r="D25">
        <f t="shared" si="0"/>
        <v>22.706</v>
      </c>
      <c r="E25">
        <f t="shared" si="1"/>
        <v>9.192388155425299E-2</v>
      </c>
      <c r="G25" t="s">
        <v>49</v>
      </c>
      <c r="H25">
        <v>31.546569999999999</v>
      </c>
      <c r="I25">
        <v>31.971440000000001</v>
      </c>
      <c r="J25">
        <f t="shared" si="2"/>
        <v>31.759005000000002</v>
      </c>
      <c r="K25">
        <f t="shared" si="3"/>
        <v>0.30042845812272989</v>
      </c>
      <c r="L25">
        <f t="shared" si="4"/>
        <v>9.0530050000000024</v>
      </c>
      <c r="M25">
        <f t="shared" si="5"/>
        <v>-0.24601999999999791</v>
      </c>
      <c r="N25">
        <f t="shared" si="6"/>
        <v>1.1859309397907349</v>
      </c>
    </row>
    <row r="26" spans="1:16" x14ac:dyDescent="0.3">
      <c r="A26" t="s">
        <v>50</v>
      </c>
      <c r="B26">
        <v>37.418999999999997</v>
      </c>
      <c r="C26">
        <v>36.735999999999997</v>
      </c>
      <c r="D26">
        <f t="shared" si="0"/>
        <v>37.077500000000001</v>
      </c>
      <c r="E26">
        <f t="shared" si="1"/>
        <v>0.48295393155041183</v>
      </c>
      <c r="G26" t="s">
        <v>50</v>
      </c>
    </row>
    <row r="27" spans="1:16" x14ac:dyDescent="0.3">
      <c r="A27" t="s">
        <v>51</v>
      </c>
      <c r="B27">
        <v>20.065999999999999</v>
      </c>
      <c r="C27">
        <v>19.899999999999999</v>
      </c>
      <c r="D27">
        <f t="shared" si="0"/>
        <v>19.982999999999997</v>
      </c>
      <c r="E27">
        <f t="shared" si="1"/>
        <v>0.11737972567696715</v>
      </c>
      <c r="G27" t="s">
        <v>51</v>
      </c>
      <c r="H27">
        <v>27.632180000000002</v>
      </c>
      <c r="I27">
        <v>27.455030000000001</v>
      </c>
      <c r="J27">
        <f t="shared" si="2"/>
        <v>27.543604999999999</v>
      </c>
      <c r="K27">
        <f t="shared" si="3"/>
        <v>0.1252639662871976</v>
      </c>
      <c r="L27">
        <f t="shared" si="4"/>
        <v>7.5606050000000025</v>
      </c>
      <c r="M27">
        <f t="shared" si="5"/>
        <v>-1.7384199999999979</v>
      </c>
      <c r="N27">
        <f t="shared" si="6"/>
        <v>3.3366954187471078</v>
      </c>
      <c r="O27">
        <f>AVERAGE(N27:N33)</f>
        <v>3.0512551290140038</v>
      </c>
      <c r="P27">
        <f>STDEV(N27:N33)</f>
        <v>3.6346386855448096</v>
      </c>
    </row>
    <row r="28" spans="1:16" x14ac:dyDescent="0.3">
      <c r="A28" t="s">
        <v>52</v>
      </c>
      <c r="B28">
        <v>21.966999999999999</v>
      </c>
      <c r="C28">
        <v>22.084</v>
      </c>
      <c r="D28">
        <f t="shared" si="0"/>
        <v>22.025500000000001</v>
      </c>
      <c r="E28">
        <f t="shared" si="1"/>
        <v>8.2731493398826683E-2</v>
      </c>
      <c r="G28" t="s">
        <v>52</v>
      </c>
      <c r="H28">
        <v>28.2532</v>
      </c>
      <c r="I28">
        <v>27.755369999999999</v>
      </c>
      <c r="J28">
        <f t="shared" si="2"/>
        <v>28.004284999999999</v>
      </c>
      <c r="K28">
        <f t="shared" si="3"/>
        <v>0.35201896887809925</v>
      </c>
      <c r="L28">
        <f t="shared" si="4"/>
        <v>5.9787849999999985</v>
      </c>
      <c r="M28">
        <f t="shared" si="5"/>
        <v>-3.3202400000000019</v>
      </c>
      <c r="N28">
        <f t="shared" si="6"/>
        <v>9.9883058608629636</v>
      </c>
    </row>
    <row r="29" spans="1:16" x14ac:dyDescent="0.3">
      <c r="A29" t="s">
        <v>53</v>
      </c>
      <c r="B29">
        <v>20.794</v>
      </c>
      <c r="C29">
        <v>20.931000000000001</v>
      </c>
      <c r="D29">
        <f t="shared" si="0"/>
        <v>20.862500000000001</v>
      </c>
      <c r="E29">
        <f t="shared" si="1"/>
        <v>9.6873629022557334E-2</v>
      </c>
      <c r="G29" t="s">
        <v>53</v>
      </c>
      <c r="H29">
        <v>29.03284</v>
      </c>
      <c r="I29">
        <v>29.534790000000001</v>
      </c>
      <c r="J29">
        <f t="shared" si="2"/>
        <v>29.283815000000001</v>
      </c>
      <c r="K29">
        <f t="shared" si="3"/>
        <v>0.35493224881658808</v>
      </c>
      <c r="L29">
        <f t="shared" si="4"/>
        <v>8.4213149999999999</v>
      </c>
      <c r="M29">
        <f t="shared" si="5"/>
        <v>-0.87771000000000043</v>
      </c>
      <c r="N29">
        <f t="shared" si="6"/>
        <v>1.8374563777981661</v>
      </c>
    </row>
    <row r="30" spans="1:16" x14ac:dyDescent="0.3">
      <c r="A30" t="s">
        <v>54</v>
      </c>
      <c r="B30">
        <v>30.928999999999998</v>
      </c>
      <c r="C30">
        <v>34.701000000000001</v>
      </c>
      <c r="D30">
        <f t="shared" si="0"/>
        <v>32.814999999999998</v>
      </c>
      <c r="E30">
        <f t="shared" si="1"/>
        <v>2.6672067786356588</v>
      </c>
      <c r="G30" t="s">
        <v>54</v>
      </c>
    </row>
    <row r="31" spans="1:16" x14ac:dyDescent="0.3">
      <c r="A31" t="s">
        <v>55</v>
      </c>
      <c r="B31">
        <v>22.978999999999999</v>
      </c>
      <c r="C31">
        <v>22.974</v>
      </c>
      <c r="D31">
        <f t="shared" si="0"/>
        <v>22.976500000000001</v>
      </c>
      <c r="E31">
        <f t="shared" si="1"/>
        <v>3.5355339059320342E-3</v>
      </c>
      <c r="G31" t="s">
        <v>55</v>
      </c>
      <c r="H31">
        <v>34.61271</v>
      </c>
      <c r="I31">
        <v>34.31476</v>
      </c>
      <c r="J31">
        <f t="shared" si="2"/>
        <v>34.463735</v>
      </c>
      <c r="K31">
        <f t="shared" si="3"/>
        <v>0.21068246545453195</v>
      </c>
      <c r="L31">
        <f t="shared" si="4"/>
        <v>11.487234999999998</v>
      </c>
      <c r="M31">
        <f t="shared" si="5"/>
        <v>2.188209999999998</v>
      </c>
      <c r="N31">
        <f t="shared" si="6"/>
        <v>0.21942350759271345</v>
      </c>
    </row>
    <row r="32" spans="1:16" x14ac:dyDescent="0.3">
      <c r="A32" t="s">
        <v>56</v>
      </c>
      <c r="B32">
        <v>21.728000000000002</v>
      </c>
      <c r="C32">
        <v>21.516999999999999</v>
      </c>
      <c r="D32">
        <f t="shared" si="0"/>
        <v>21.622500000000002</v>
      </c>
      <c r="E32">
        <f t="shared" si="1"/>
        <v>0.149199530830363</v>
      </c>
      <c r="G32" t="s">
        <v>56</v>
      </c>
      <c r="H32">
        <v>29.294519999999999</v>
      </c>
      <c r="I32">
        <v>29.630400000000002</v>
      </c>
      <c r="J32">
        <f t="shared" si="2"/>
        <v>29.46246</v>
      </c>
      <c r="K32">
        <f t="shared" si="3"/>
        <v>0.23750302566493975</v>
      </c>
      <c r="L32">
        <f t="shared" si="4"/>
        <v>7.8399599999999978</v>
      </c>
      <c r="M32">
        <f t="shared" si="5"/>
        <v>-1.4590650000000025</v>
      </c>
      <c r="N32">
        <f t="shared" si="6"/>
        <v>2.7493012569306412</v>
      </c>
    </row>
    <row r="33" spans="1:16" x14ac:dyDescent="0.3">
      <c r="A33" t="s">
        <v>57</v>
      </c>
      <c r="B33">
        <v>21.073</v>
      </c>
      <c r="C33">
        <v>21.155999999999999</v>
      </c>
      <c r="D33">
        <f t="shared" si="0"/>
        <v>21.1145</v>
      </c>
      <c r="E33">
        <f t="shared" si="1"/>
        <v>5.8689862838482321E-2</v>
      </c>
      <c r="G33" t="s">
        <v>57</v>
      </c>
      <c r="H33">
        <v>33.281010000000002</v>
      </c>
      <c r="I33">
        <v>32.553040000000003</v>
      </c>
      <c r="J33">
        <f t="shared" si="2"/>
        <v>32.917025000000002</v>
      </c>
      <c r="K33">
        <f t="shared" si="3"/>
        <v>0.51475252350037037</v>
      </c>
      <c r="L33">
        <f t="shared" si="4"/>
        <v>11.802525000000003</v>
      </c>
      <c r="M33">
        <f t="shared" si="5"/>
        <v>2.5035000000000025</v>
      </c>
      <c r="N33">
        <f t="shared" si="6"/>
        <v>0.17634835215243005</v>
      </c>
      <c r="O33">
        <f>AVERAGE(N33:N39)</f>
        <v>0.18170779631510173</v>
      </c>
      <c r="P33">
        <f>STDEV(N33:N39)</f>
        <v>0.10852915187217872</v>
      </c>
    </row>
    <row r="34" spans="1:16" x14ac:dyDescent="0.3">
      <c r="A34" t="s">
        <v>58</v>
      </c>
      <c r="B34">
        <v>22.228000000000002</v>
      </c>
      <c r="C34">
        <v>22.114999999999998</v>
      </c>
      <c r="D34">
        <f t="shared" si="0"/>
        <v>22.171500000000002</v>
      </c>
      <c r="E34">
        <f t="shared" si="1"/>
        <v>7.9903066274082057E-2</v>
      </c>
      <c r="G34" t="s">
        <v>58</v>
      </c>
      <c r="H34">
        <v>33.53396</v>
      </c>
      <c r="I34">
        <v>32.547159999999998</v>
      </c>
      <c r="J34">
        <f t="shared" si="2"/>
        <v>33.040559999999999</v>
      </c>
      <c r="K34">
        <f t="shared" si="3"/>
        <v>0.69777297167488672</v>
      </c>
      <c r="L34">
        <f t="shared" si="4"/>
        <v>10.869059999999998</v>
      </c>
      <c r="M34">
        <f t="shared" si="5"/>
        <v>1.5700349999999972</v>
      </c>
      <c r="N34">
        <f t="shared" si="6"/>
        <v>0.33680022329292814</v>
      </c>
    </row>
    <row r="35" spans="1:16" x14ac:dyDescent="0.3">
      <c r="A35" t="s">
        <v>59</v>
      </c>
      <c r="B35">
        <v>20.256</v>
      </c>
      <c r="C35">
        <v>20.065999999999999</v>
      </c>
      <c r="D35">
        <f t="shared" si="0"/>
        <v>20.161000000000001</v>
      </c>
      <c r="E35">
        <f t="shared" si="1"/>
        <v>0.13435028842544494</v>
      </c>
      <c r="G35" t="s">
        <v>59</v>
      </c>
      <c r="H35">
        <v>32.86551</v>
      </c>
      <c r="I35">
        <v>32.636029999999998</v>
      </c>
      <c r="J35">
        <f t="shared" si="2"/>
        <v>32.750770000000003</v>
      </c>
      <c r="K35">
        <f t="shared" si="3"/>
        <v>0.16226686414669059</v>
      </c>
      <c r="L35">
        <f t="shared" si="4"/>
        <v>12.589770000000001</v>
      </c>
      <c r="M35">
        <f t="shared" si="5"/>
        <v>3.2907450000000011</v>
      </c>
      <c r="N35">
        <f t="shared" si="6"/>
        <v>0.10218497591805366</v>
      </c>
    </row>
    <row r="36" spans="1:16" x14ac:dyDescent="0.3">
      <c r="A36" t="s">
        <v>60</v>
      </c>
      <c r="B36">
        <v>20.591000000000001</v>
      </c>
      <c r="C36">
        <v>20.524000000000001</v>
      </c>
      <c r="D36">
        <f t="shared" si="0"/>
        <v>20.557500000000001</v>
      </c>
      <c r="E36">
        <f t="shared" si="1"/>
        <v>4.7376154339498801E-2</v>
      </c>
      <c r="G36" t="s">
        <v>60</v>
      </c>
      <c r="J36" t="e">
        <f t="shared" si="2"/>
        <v>#DIV/0!</v>
      </c>
      <c r="K36" t="e">
        <f t="shared" si="3"/>
        <v>#DIV/0!</v>
      </c>
      <c r="L36" t="e">
        <f t="shared" si="4"/>
        <v>#DIV/0!</v>
      </c>
      <c r="M36" t="e">
        <f t="shared" si="5"/>
        <v>#DIV/0!</v>
      </c>
    </row>
    <row r="37" spans="1:16" x14ac:dyDescent="0.3">
      <c r="A37" t="s">
        <v>61</v>
      </c>
      <c r="B37">
        <v>36.838999999999999</v>
      </c>
      <c r="C37">
        <v>36.744</v>
      </c>
      <c r="D37">
        <f t="shared" si="0"/>
        <v>36.791499999999999</v>
      </c>
      <c r="E37">
        <f t="shared" si="1"/>
        <v>6.7175144212721208E-2</v>
      </c>
      <c r="G37" t="s">
        <v>61</v>
      </c>
    </row>
    <row r="38" spans="1:16" x14ac:dyDescent="0.3">
      <c r="A38" t="s">
        <v>62</v>
      </c>
      <c r="B38">
        <v>20.292999999999999</v>
      </c>
      <c r="C38">
        <v>20.262</v>
      </c>
      <c r="D38">
        <f t="shared" si="0"/>
        <v>20.2775</v>
      </c>
      <c r="E38">
        <f t="shared" si="1"/>
        <v>2.1920310216782129E-2</v>
      </c>
      <c r="G38" t="s">
        <v>62</v>
      </c>
      <c r="H38">
        <v>33.367159999999998</v>
      </c>
      <c r="I38">
        <v>32.115720000000003</v>
      </c>
      <c r="J38">
        <f t="shared" si="2"/>
        <v>32.741439999999997</v>
      </c>
      <c r="K38">
        <f t="shared" si="3"/>
        <v>0.88490171024808961</v>
      </c>
      <c r="L38">
        <f t="shared" si="4"/>
        <v>12.463939999999997</v>
      </c>
      <c r="M38">
        <f t="shared" si="5"/>
        <v>3.164914999999997</v>
      </c>
      <c r="N38">
        <f t="shared" si="6"/>
        <v>0.11149763389699512</v>
      </c>
    </row>
    <row r="39" spans="1:16" x14ac:dyDescent="0.3">
      <c r="A39" t="s">
        <v>63</v>
      </c>
      <c r="B39">
        <v>22.442</v>
      </c>
      <c r="C39">
        <v>21.396000000000001</v>
      </c>
      <c r="D39">
        <f t="shared" si="0"/>
        <v>21.919</v>
      </c>
      <c r="E39">
        <f t="shared" si="1"/>
        <v>0.73963369312112826</v>
      </c>
      <c r="G39" t="s">
        <v>63</v>
      </c>
      <c r="H39">
        <v>31.14283</v>
      </c>
      <c r="I39">
        <v>31.293220000000002</v>
      </c>
      <c r="J39">
        <f t="shared" si="2"/>
        <v>31.218025000000001</v>
      </c>
      <c r="K39">
        <f t="shared" si="3"/>
        <v>0.106341788822646</v>
      </c>
      <c r="L39">
        <f t="shared" si="4"/>
        <v>9.2990250000000003</v>
      </c>
      <c r="M39">
        <f t="shared" si="5"/>
        <v>0</v>
      </c>
    </row>
  </sheetData>
  <conditionalFormatting sqref="A3:A6">
    <cfRule type="cellIs" dxfId="2" priority="1" operator="lessThan">
      <formula>24.99</formula>
    </cfRule>
  </conditionalFormatting>
  <conditionalFormatting sqref="A1:C39">
    <cfRule type="cellIs" dxfId="1" priority="2" operator="lessThan">
      <formula>24.99</formula>
    </cfRule>
    <cfRule type="cellIs" dxfId="0" priority="3" operator="greaterThan">
      <formula>25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558E-897C-46FC-93D4-401B79B7EA76}">
  <dimension ref="A1:F39"/>
  <sheetViews>
    <sheetView workbookViewId="0">
      <selection activeCell="G2" sqref="G2"/>
    </sheetView>
  </sheetViews>
  <sheetFormatPr defaultRowHeight="14.4" x14ac:dyDescent="0.3"/>
  <sheetData>
    <row r="1" spans="1:6" x14ac:dyDescent="0.3">
      <c r="A1" t="s">
        <v>76</v>
      </c>
    </row>
    <row r="2" spans="1:6" x14ac:dyDescent="0.3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88</v>
      </c>
    </row>
    <row r="3" spans="1:6" x14ac:dyDescent="0.3">
      <c r="A3" t="s">
        <v>35</v>
      </c>
      <c r="B3">
        <v>33.345399999999998</v>
      </c>
      <c r="C3">
        <v>40</v>
      </c>
      <c r="D3">
        <f>AVERAGE(B3:C3)</f>
        <v>36.672699999999999</v>
      </c>
      <c r="E3">
        <f>STDEV(B3:C3)</f>
        <v>4.7055127860840003</v>
      </c>
      <c r="F3" t="e">
        <f>D3-#REF!</f>
        <v>#REF!</v>
      </c>
    </row>
    <row r="4" spans="1:6" x14ac:dyDescent="0.3">
      <c r="A4" t="s">
        <v>36</v>
      </c>
      <c r="B4">
        <v>29.640889999999999</v>
      </c>
      <c r="C4">
        <v>38.735669999999999</v>
      </c>
      <c r="D4">
        <f t="shared" ref="D4:D39" si="0">AVERAGE(B4:C4)</f>
        <v>34.188279999999999</v>
      </c>
      <c r="E4">
        <f t="shared" ref="E4:E39" si="1">STDEV(B4:C4)</f>
        <v>6.4309806113997903</v>
      </c>
      <c r="F4" t="e">
        <f t="shared" ref="F4" si="2">D4-#REF!</f>
        <v>#REF!</v>
      </c>
    </row>
    <row r="5" spans="1:6" x14ac:dyDescent="0.3">
      <c r="A5" t="s">
        <v>37</v>
      </c>
      <c r="B5">
        <v>31.76953</v>
      </c>
      <c r="C5">
        <v>40</v>
      </c>
      <c r="D5">
        <f t="shared" si="0"/>
        <v>35.884765000000002</v>
      </c>
      <c r="E5">
        <f t="shared" si="1"/>
        <v>5.819821149352407</v>
      </c>
      <c r="F5" t="e">
        <f t="shared" ref="F5" si="3">D5-#REF!</f>
        <v>#REF!</v>
      </c>
    </row>
    <row r="6" spans="1:6" x14ac:dyDescent="0.3">
      <c r="A6" t="s">
        <v>38</v>
      </c>
      <c r="B6">
        <v>34.456069999999997</v>
      </c>
      <c r="C6">
        <v>40</v>
      </c>
      <c r="D6">
        <f t="shared" si="0"/>
        <v>37.228034999999998</v>
      </c>
      <c r="E6">
        <f t="shared" si="1"/>
        <v>3.9201504974235388</v>
      </c>
      <c r="F6" t="e">
        <f t="shared" ref="F6" si="4">D6-#REF!</f>
        <v>#REF!</v>
      </c>
    </row>
    <row r="8" spans="1:6" x14ac:dyDescent="0.3">
      <c r="A8" t="s">
        <v>75</v>
      </c>
      <c r="B8">
        <v>39.400230000000001</v>
      </c>
      <c r="C8">
        <v>40</v>
      </c>
      <c r="D8">
        <f t="shared" si="0"/>
        <v>39.700114999999997</v>
      </c>
      <c r="E8">
        <f t="shared" si="1"/>
        <v>0.42410143415225521</v>
      </c>
      <c r="F8" t="e">
        <f>D8-#REF!</f>
        <v>#REF!</v>
      </c>
    </row>
    <row r="9" spans="1:6" x14ac:dyDescent="0.3">
      <c r="A9" t="s">
        <v>42</v>
      </c>
      <c r="B9">
        <v>29.798249999999999</v>
      </c>
      <c r="C9">
        <v>38.57911</v>
      </c>
      <c r="D9">
        <f t="shared" si="0"/>
        <v>34.188679999999998</v>
      </c>
      <c r="E9">
        <f t="shared" si="1"/>
        <v>6.2090056506497362</v>
      </c>
      <c r="F9" t="e">
        <f>D9-#REF!</f>
        <v>#REF!</v>
      </c>
    </row>
    <row r="10" spans="1:6" x14ac:dyDescent="0.3">
      <c r="A10" t="s">
        <v>43</v>
      </c>
      <c r="B10">
        <v>30.269950000000001</v>
      </c>
      <c r="C10">
        <v>30.199860000000001</v>
      </c>
      <c r="D10">
        <f t="shared" si="0"/>
        <v>30.234905000000001</v>
      </c>
      <c r="E10">
        <f t="shared" si="1"/>
        <v>4.9561114293365419E-2</v>
      </c>
      <c r="F10" t="e">
        <f t="shared" ref="F10" si="5">D10-#REF!</f>
        <v>#REF!</v>
      </c>
    </row>
    <row r="12" spans="1:6" x14ac:dyDescent="0.3">
      <c r="A12" t="s">
        <v>45</v>
      </c>
      <c r="B12">
        <v>28.940370000000001</v>
      </c>
      <c r="C12">
        <v>28.87839</v>
      </c>
      <c r="D12">
        <f t="shared" si="0"/>
        <v>28.909379999999999</v>
      </c>
      <c r="E12">
        <f t="shared" si="1"/>
        <v>4.3826478297943575E-2</v>
      </c>
      <c r="F12" t="e">
        <f>D12-#REF!</f>
        <v>#REF!</v>
      </c>
    </row>
    <row r="13" spans="1:6" x14ac:dyDescent="0.3">
      <c r="A13" t="s">
        <v>71</v>
      </c>
      <c r="B13">
        <v>34.454340000000002</v>
      </c>
      <c r="C13">
        <v>40</v>
      </c>
      <c r="D13">
        <f t="shared" si="0"/>
        <v>37.227170000000001</v>
      </c>
      <c r="E13">
        <f t="shared" si="1"/>
        <v>3.9213737921549878</v>
      </c>
      <c r="F13" t="e">
        <f t="shared" ref="F13" si="6">D13-#REF!</f>
        <v>#REF!</v>
      </c>
    </row>
    <row r="14" spans="1:6" x14ac:dyDescent="0.3">
      <c r="A14" t="s">
        <v>72</v>
      </c>
      <c r="B14">
        <v>29.866980000000002</v>
      </c>
      <c r="C14">
        <v>40</v>
      </c>
      <c r="D14">
        <f t="shared" si="0"/>
        <v>34.933489999999999</v>
      </c>
      <c r="E14">
        <f t="shared" si="1"/>
        <v>7.1651271558989524</v>
      </c>
      <c r="F14" t="e">
        <f t="shared" ref="F14" si="7">D14-#REF!</f>
        <v>#REF!</v>
      </c>
    </row>
    <row r="15" spans="1:6" x14ac:dyDescent="0.3">
      <c r="A15" t="s">
        <v>73</v>
      </c>
      <c r="B15">
        <v>31.0078</v>
      </c>
      <c r="C15">
        <v>40</v>
      </c>
      <c r="D15">
        <f t="shared" si="0"/>
        <v>35.503900000000002</v>
      </c>
      <c r="E15">
        <f t="shared" si="1"/>
        <v>6.3584455977856482</v>
      </c>
      <c r="F15" t="e">
        <f t="shared" ref="F15" si="8">D15-#REF!</f>
        <v>#REF!</v>
      </c>
    </row>
    <row r="16" spans="1:6" x14ac:dyDescent="0.3">
      <c r="A16" t="s">
        <v>64</v>
      </c>
      <c r="B16">
        <v>40</v>
      </c>
      <c r="C16">
        <v>40</v>
      </c>
      <c r="D16">
        <f t="shared" si="0"/>
        <v>40</v>
      </c>
      <c r="E16">
        <f t="shared" si="1"/>
        <v>0</v>
      </c>
      <c r="F16" t="e">
        <f t="shared" ref="F16" si="9">D16-#REF!</f>
        <v>#REF!</v>
      </c>
    </row>
    <row r="17" spans="1:6" x14ac:dyDescent="0.3">
      <c r="A17" t="s">
        <v>65</v>
      </c>
      <c r="B17">
        <v>40</v>
      </c>
      <c r="C17">
        <v>40</v>
      </c>
      <c r="D17">
        <f t="shared" si="0"/>
        <v>40</v>
      </c>
      <c r="E17">
        <f t="shared" si="1"/>
        <v>0</v>
      </c>
      <c r="F17" t="e">
        <f t="shared" ref="F17" si="10">D17-#REF!</f>
        <v>#REF!</v>
      </c>
    </row>
    <row r="18" spans="1:6" x14ac:dyDescent="0.3">
      <c r="A18" t="s">
        <v>66</v>
      </c>
      <c r="B18">
        <v>31.86497</v>
      </c>
      <c r="C18">
        <v>31.22053</v>
      </c>
      <c r="D18">
        <f t="shared" si="0"/>
        <v>31.542749999999998</v>
      </c>
      <c r="E18">
        <f t="shared" si="1"/>
        <v>0.45568789406785831</v>
      </c>
      <c r="F18" t="e">
        <f t="shared" ref="F18" si="11">D18-#REF!</f>
        <v>#REF!</v>
      </c>
    </row>
    <row r="19" spans="1:6" x14ac:dyDescent="0.3">
      <c r="A19" t="s">
        <v>67</v>
      </c>
      <c r="B19">
        <v>29.097740000000002</v>
      </c>
      <c r="C19">
        <v>29.182690000000001</v>
      </c>
      <c r="D19">
        <f t="shared" si="0"/>
        <v>29.140215000000001</v>
      </c>
      <c r="E19">
        <f t="shared" si="1"/>
        <v>6.0068721061796643E-2</v>
      </c>
      <c r="F19" t="e">
        <f t="shared" ref="F19" si="12">D19-#REF!</f>
        <v>#REF!</v>
      </c>
    </row>
    <row r="21" spans="1:6" x14ac:dyDescent="0.3">
      <c r="A21" t="s">
        <v>69</v>
      </c>
      <c r="B21">
        <v>29.96359</v>
      </c>
      <c r="C21">
        <v>29.72438</v>
      </c>
      <c r="D21">
        <f t="shared" si="0"/>
        <v>29.843985</v>
      </c>
      <c r="E21">
        <f t="shared" si="1"/>
        <v>0.16914701312763397</v>
      </c>
      <c r="F21" t="e">
        <f t="shared" ref="F21" si="13">D21-#REF!</f>
        <v>#REF!</v>
      </c>
    </row>
    <row r="23" spans="1:6" x14ac:dyDescent="0.3">
      <c r="A23" t="s">
        <v>47</v>
      </c>
      <c r="B23">
        <v>30.585840000000001</v>
      </c>
      <c r="C23">
        <v>30.012619999999998</v>
      </c>
      <c r="D23">
        <f t="shared" si="0"/>
        <v>30.299230000000001</v>
      </c>
      <c r="E23">
        <f t="shared" si="1"/>
        <v>0.40532774911175468</v>
      </c>
      <c r="F23" t="e">
        <f t="shared" ref="F23" si="14">D23-#REF!</f>
        <v>#REF!</v>
      </c>
    </row>
    <row r="24" spans="1:6" x14ac:dyDescent="0.3">
      <c r="A24" t="s">
        <v>48</v>
      </c>
      <c r="B24">
        <v>29.811219999999999</v>
      </c>
      <c r="C24">
        <v>29.364540000000002</v>
      </c>
      <c r="D24">
        <f t="shared" si="0"/>
        <v>29.587879999999998</v>
      </c>
      <c r="E24">
        <f t="shared" si="1"/>
        <v>0.31585045702040498</v>
      </c>
      <c r="F24" t="e">
        <f t="shared" ref="F24" si="15">D24-#REF!</f>
        <v>#REF!</v>
      </c>
    </row>
    <row r="25" spans="1:6" x14ac:dyDescent="0.3">
      <c r="A25" t="s">
        <v>49</v>
      </c>
      <c r="B25">
        <v>31.546569999999999</v>
      </c>
      <c r="C25">
        <v>31.971440000000001</v>
      </c>
      <c r="D25">
        <f t="shared" si="0"/>
        <v>31.759005000000002</v>
      </c>
      <c r="E25">
        <f t="shared" si="1"/>
        <v>0.30042845812272989</v>
      </c>
      <c r="F25" t="e">
        <f t="shared" ref="F25" si="16">D25-#REF!</f>
        <v>#REF!</v>
      </c>
    </row>
    <row r="27" spans="1:6" x14ac:dyDescent="0.3">
      <c r="A27" t="s">
        <v>51</v>
      </c>
      <c r="B27">
        <v>27.632180000000002</v>
      </c>
      <c r="C27">
        <v>27.455030000000001</v>
      </c>
      <c r="D27">
        <f t="shared" si="0"/>
        <v>27.543604999999999</v>
      </c>
      <c r="E27">
        <f t="shared" si="1"/>
        <v>0.1252639662871976</v>
      </c>
      <c r="F27" t="e">
        <f t="shared" ref="F27" si="17">D27-#REF!</f>
        <v>#REF!</v>
      </c>
    </row>
    <row r="28" spans="1:6" x14ac:dyDescent="0.3">
      <c r="A28" t="s">
        <v>52</v>
      </c>
      <c r="B28">
        <v>28.2532</v>
      </c>
      <c r="C28">
        <v>27.755369999999999</v>
      </c>
      <c r="D28">
        <f t="shared" si="0"/>
        <v>28.004284999999999</v>
      </c>
      <c r="E28">
        <f t="shared" si="1"/>
        <v>0.35201896887809925</v>
      </c>
      <c r="F28" t="e">
        <f t="shared" ref="F28" si="18">D28-#REF!</f>
        <v>#REF!</v>
      </c>
    </row>
    <row r="29" spans="1:6" x14ac:dyDescent="0.3">
      <c r="A29" t="s">
        <v>53</v>
      </c>
      <c r="B29">
        <v>29.03284</v>
      </c>
      <c r="C29">
        <v>29.534790000000001</v>
      </c>
      <c r="D29">
        <f t="shared" si="0"/>
        <v>29.283815000000001</v>
      </c>
      <c r="E29">
        <f t="shared" si="1"/>
        <v>0.35493224881658808</v>
      </c>
      <c r="F29" t="e">
        <f t="shared" ref="F29" si="19">D29-#REF!</f>
        <v>#REF!</v>
      </c>
    </row>
    <row r="31" spans="1:6" x14ac:dyDescent="0.3">
      <c r="A31" t="s">
        <v>55</v>
      </c>
      <c r="B31">
        <v>34.61271</v>
      </c>
      <c r="C31">
        <v>34.31476</v>
      </c>
      <c r="D31">
        <f t="shared" si="0"/>
        <v>34.463735</v>
      </c>
      <c r="E31">
        <f t="shared" si="1"/>
        <v>0.21068246545453195</v>
      </c>
      <c r="F31" t="e">
        <f t="shared" ref="F31" si="20">D31-#REF!</f>
        <v>#REF!</v>
      </c>
    </row>
    <row r="32" spans="1:6" x14ac:dyDescent="0.3">
      <c r="A32" t="s">
        <v>56</v>
      </c>
      <c r="B32">
        <v>29.294519999999999</v>
      </c>
      <c r="C32">
        <v>29.630400000000002</v>
      </c>
      <c r="D32">
        <f t="shared" si="0"/>
        <v>29.46246</v>
      </c>
      <c r="E32">
        <f t="shared" si="1"/>
        <v>0.23750302566493975</v>
      </c>
      <c r="F32" t="e">
        <f t="shared" ref="F32" si="21">D32-#REF!</f>
        <v>#REF!</v>
      </c>
    </row>
    <row r="33" spans="1:6" x14ac:dyDescent="0.3">
      <c r="A33" t="s">
        <v>57</v>
      </c>
      <c r="B33">
        <v>33.281010000000002</v>
      </c>
      <c r="C33">
        <v>32.553040000000003</v>
      </c>
      <c r="D33">
        <f t="shared" si="0"/>
        <v>32.917025000000002</v>
      </c>
      <c r="E33">
        <f t="shared" si="1"/>
        <v>0.51475252350037037</v>
      </c>
      <c r="F33" t="e">
        <f t="shared" ref="F33" si="22">D33-#REF!</f>
        <v>#REF!</v>
      </c>
    </row>
    <row r="34" spans="1:6" x14ac:dyDescent="0.3">
      <c r="A34" t="s">
        <v>58</v>
      </c>
      <c r="B34">
        <v>33.53396</v>
      </c>
      <c r="C34">
        <v>32.547159999999998</v>
      </c>
      <c r="D34">
        <f t="shared" si="0"/>
        <v>33.040559999999999</v>
      </c>
      <c r="E34">
        <f t="shared" si="1"/>
        <v>0.69777297167488672</v>
      </c>
      <c r="F34" t="e">
        <f t="shared" ref="F34" si="23">D34-#REF!</f>
        <v>#REF!</v>
      </c>
    </row>
    <row r="35" spans="1:6" x14ac:dyDescent="0.3">
      <c r="A35" t="s">
        <v>59</v>
      </c>
      <c r="B35">
        <v>32.86551</v>
      </c>
      <c r="C35">
        <v>32.636029999999998</v>
      </c>
      <c r="D35">
        <f t="shared" si="0"/>
        <v>32.750770000000003</v>
      </c>
      <c r="E35">
        <f t="shared" si="1"/>
        <v>0.16226686414669059</v>
      </c>
      <c r="F35" t="e">
        <f t="shared" ref="F35" si="24">D35-#REF!</f>
        <v>#REF!</v>
      </c>
    </row>
    <row r="36" spans="1:6" x14ac:dyDescent="0.3">
      <c r="A36" t="s">
        <v>60</v>
      </c>
      <c r="B36">
        <v>40</v>
      </c>
      <c r="C36">
        <v>4.2073600000000004</v>
      </c>
      <c r="D36">
        <f t="shared" si="0"/>
        <v>22.103680000000001</v>
      </c>
      <c r="E36">
        <f t="shared" si="1"/>
        <v>25.309218460568864</v>
      </c>
      <c r="F36" t="e">
        <f t="shared" ref="F36" si="25">D36-#REF!</f>
        <v>#REF!</v>
      </c>
    </row>
    <row r="38" spans="1:6" x14ac:dyDescent="0.3">
      <c r="A38" t="s">
        <v>62</v>
      </c>
      <c r="B38">
        <v>33.367159999999998</v>
      </c>
      <c r="C38">
        <v>32.115720000000003</v>
      </c>
      <c r="D38">
        <f t="shared" si="0"/>
        <v>32.741439999999997</v>
      </c>
      <c r="E38">
        <f t="shared" si="1"/>
        <v>0.88490171024808961</v>
      </c>
      <c r="F38" t="e">
        <f t="shared" ref="F38" si="26">D38-#REF!</f>
        <v>#REF!</v>
      </c>
    </row>
    <row r="39" spans="1:6" x14ac:dyDescent="0.3">
      <c r="A39" t="s">
        <v>63</v>
      </c>
      <c r="B39">
        <v>31.14283</v>
      </c>
      <c r="C39">
        <v>31.293220000000002</v>
      </c>
      <c r="D39">
        <f t="shared" si="0"/>
        <v>31.218025000000001</v>
      </c>
      <c r="E39">
        <f t="shared" si="1"/>
        <v>0.106341788822646</v>
      </c>
      <c r="F39" t="e">
        <f t="shared" ref="F39" si="27">D39-#REF!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Sample_Formulae</vt:lpstr>
      <vt:lpstr>Unordered</vt:lpstr>
      <vt:lpstr>Ordered</vt:lpstr>
      <vt:lpstr>40s_rmvd</vt:lpstr>
      <vt:lpstr>No_blanks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Mikel Lavilla Puerta</dc:creator>
  <cp:lastModifiedBy>Oliver Eyre</cp:lastModifiedBy>
  <dcterms:created xsi:type="dcterms:W3CDTF">2026-04-15T14:32:20Z</dcterms:created>
  <dcterms:modified xsi:type="dcterms:W3CDTF">2026-04-17T15:38:21Z</dcterms:modified>
</cp:coreProperties>
</file>