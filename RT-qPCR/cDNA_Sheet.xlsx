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some5458_ox_ac_uk/Documents/Year 4/Data/cDNA Synthesis/"/>
    </mc:Choice>
  </mc:AlternateContent>
  <xr:revisionPtr revIDLastSave="196" documentId="11_F25DC773A252ABDACC104839F91B631A5ADE58E8" xr6:coauthVersionLast="47" xr6:coauthVersionMax="47" xr10:uidLastSave="{B00E34DB-9590-4390-BF0B-2F0B74EC2655}"/>
  <bookViews>
    <workbookView xWindow="-108" yWindow="-108" windowWidth="23256" windowHeight="13896" activeTab="1" xr2:uid="{00000000-000D-0000-FFFF-FFFF00000000}"/>
  </bookViews>
  <sheets>
    <sheet name="19.03.2026" sheetId="1" r:id="rId1"/>
    <sheet name="24.03.2026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1" l="1"/>
  <c r="D20" i="1" s="1"/>
  <c r="G6" i="2"/>
  <c r="G8" i="2"/>
  <c r="G9" i="2"/>
  <c r="G20" i="2"/>
  <c r="G21" i="2"/>
  <c r="F21" i="2"/>
  <c r="F2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" i="2"/>
  <c r="C3" i="2"/>
  <c r="C4" i="2"/>
  <c r="C5" i="2"/>
  <c r="C6" i="2"/>
  <c r="D6" i="2" s="1"/>
  <c r="C7" i="2"/>
  <c r="C8" i="2"/>
  <c r="C9" i="2"/>
  <c r="C10" i="2"/>
  <c r="D10" i="2" s="1"/>
  <c r="C11" i="2"/>
  <c r="D11" i="2" s="1"/>
  <c r="C12" i="2"/>
  <c r="C13" i="2"/>
  <c r="C14" i="2"/>
  <c r="C15" i="2"/>
  <c r="D15" i="2" s="1"/>
  <c r="C16" i="2"/>
  <c r="D16" i="2" s="1"/>
  <c r="C17" i="2"/>
  <c r="D17" i="2" s="1"/>
  <c r="C19" i="2"/>
  <c r="D19" i="2" s="1"/>
  <c r="C20" i="2"/>
  <c r="C21" i="2"/>
  <c r="D21" i="2" s="1"/>
  <c r="C22" i="2"/>
  <c r="D22" i="2" s="1"/>
  <c r="C2" i="2"/>
  <c r="A27" i="2"/>
  <c r="D20" i="2"/>
  <c r="D14" i="2"/>
  <c r="D13" i="2"/>
  <c r="D12" i="2"/>
  <c r="D9" i="2"/>
  <c r="D8" i="2"/>
  <c r="D7" i="2"/>
  <c r="D5" i="2"/>
  <c r="D4" i="2"/>
  <c r="D3" i="2"/>
  <c r="D2" i="2"/>
  <c r="B27" i="1"/>
  <c r="C10" i="1" s="1"/>
  <c r="D10" i="1" s="1"/>
  <c r="C21" i="1" l="1"/>
  <c r="D21" i="1" s="1"/>
  <c r="C19" i="1"/>
  <c r="D19" i="1" s="1"/>
  <c r="C18" i="1"/>
  <c r="D18" i="1" s="1"/>
  <c r="C2" i="1"/>
  <c r="C8" i="1"/>
  <c r="D8" i="1" s="1"/>
  <c r="C7" i="1"/>
  <c r="D7" i="1" s="1"/>
  <c r="C6" i="1"/>
  <c r="D6" i="1" s="1"/>
  <c r="C4" i="1"/>
  <c r="D4" i="1" s="1"/>
  <c r="C3" i="1"/>
  <c r="D3" i="1" s="1"/>
  <c r="C24" i="1"/>
  <c r="D24" i="1" s="1"/>
  <c r="C22" i="1"/>
  <c r="D22" i="1" s="1"/>
  <c r="D2" i="1"/>
  <c r="C17" i="1"/>
  <c r="D17" i="1" s="1"/>
  <c r="C16" i="1"/>
  <c r="D16" i="1" s="1"/>
  <c r="C5" i="1"/>
  <c r="D5" i="1" s="1"/>
  <c r="C23" i="1"/>
  <c r="D23" i="1" s="1"/>
  <c r="C15" i="1"/>
  <c r="D15" i="1" s="1"/>
  <c r="C14" i="1"/>
  <c r="D14" i="1" s="1"/>
  <c r="C9" i="1"/>
  <c r="D9" i="1" s="1"/>
  <c r="C13" i="1"/>
  <c r="D13" i="1" s="1"/>
  <c r="C12" i="1"/>
  <c r="D12" i="1" s="1"/>
  <c r="C11" i="1"/>
  <c r="D11" i="1" s="1"/>
</calcChain>
</file>

<file path=xl/sharedStrings.xml><?xml version="1.0" encoding="utf-8"?>
<sst xmlns="http://schemas.openxmlformats.org/spreadsheetml/2006/main" count="62" uniqueCount="51">
  <si>
    <t>Sample</t>
  </si>
  <si>
    <t>Pp-7-23 1</t>
  </si>
  <si>
    <t>Pp-10-4 1</t>
  </si>
  <si>
    <t>Pp-10-2 1</t>
  </si>
  <si>
    <t>Pp-7-23 2</t>
  </si>
  <si>
    <t>Pp-7-23 3</t>
  </si>
  <si>
    <t>Pp-7-23 4</t>
  </si>
  <si>
    <t>Pp-10-4 2</t>
  </si>
  <si>
    <t>Pp-10-4 3</t>
  </si>
  <si>
    <t>Pp-10-2 2</t>
  </si>
  <si>
    <t>WT-1 2</t>
  </si>
  <si>
    <t>WT-1 3</t>
  </si>
  <si>
    <t>WT-1 4</t>
  </si>
  <si>
    <t>WT-2 2</t>
  </si>
  <si>
    <t>4pco-1 2</t>
  </si>
  <si>
    <t>WT-2 3</t>
  </si>
  <si>
    <t>WT-2 5</t>
  </si>
  <si>
    <t>WT-2 7</t>
  </si>
  <si>
    <t>4pco-1 4</t>
  </si>
  <si>
    <t>4pco-2 3</t>
  </si>
  <si>
    <t>4pco-2 4</t>
  </si>
  <si>
    <t>Col-0 2</t>
  </si>
  <si>
    <t>Col-0 3</t>
  </si>
  <si>
    <t>Col-0 6</t>
  </si>
  <si>
    <t>[RNA](ng/uL)</t>
  </si>
  <si>
    <t>RNA vol (uL)</t>
  </si>
  <si>
    <t xml:space="preserve">uL MQ </t>
  </si>
  <si>
    <t>Dilute this sample and measure again</t>
  </si>
  <si>
    <t>Add 4uL RNA, 0uL water</t>
  </si>
  <si>
    <t>Col-1</t>
  </si>
  <si>
    <t>Col-4</t>
  </si>
  <si>
    <t>Col-5</t>
  </si>
  <si>
    <t>Col-8</t>
  </si>
  <si>
    <t>4pco-1-1</t>
  </si>
  <si>
    <t>4pco-1-3</t>
  </si>
  <si>
    <t>4pco-2-1</t>
  </si>
  <si>
    <t>WT-2-1</t>
  </si>
  <si>
    <t>WT-2-4</t>
  </si>
  <si>
    <t>WT-1-1</t>
  </si>
  <si>
    <t>WT-1-6</t>
  </si>
  <si>
    <t>Pp-10-2-3</t>
  </si>
  <si>
    <t>Pp-10-2-4</t>
  </si>
  <si>
    <t>Pp-7-23-5</t>
  </si>
  <si>
    <t>Pp-7-23-6</t>
  </si>
  <si>
    <t>4pco-2-2</t>
  </si>
  <si>
    <t>&lt;- 4uL*lowest reasonable value.</t>
  </si>
  <si>
    <t>For red samples</t>
  </si>
  <si>
    <t>NOTE - 4pco samples were redone as too much water added.</t>
  </si>
  <si>
    <t xml:space="preserve">Column F - amt water to add to Cdna samples where 4uL added - to address low concentration. </t>
  </si>
  <si>
    <t>Everything else gets 30uL water added.</t>
  </si>
  <si>
    <t>Column H - red samples are samples not taken forward after housekeeping gene test conducted.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</si>
</sst>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workbookViewId="0">
      <selection activeCell="D28" sqref="D28"/>
    </sheetView>
  </sheetViews>
  <sheetFormatPr defaultRowHeight="14.4" x14ac:dyDescent="0.3"/>
  <sheetData>
    <row r="1" spans="1:4" x14ac:dyDescent="0.3">
      <c r="A1" t="s">
        <v>0</v>
      </c>
      <c r="B1" t="s">
        <v>24</v>
      </c>
      <c r="C1" t="s">
        <v>25</v>
      </c>
      <c r="D1" t="s">
        <v>26</v>
      </c>
    </row>
    <row r="2" spans="1:4" x14ac:dyDescent="0.3">
      <c r="A2" t="s">
        <v>1</v>
      </c>
      <c r="B2">
        <v>490.5</v>
      </c>
      <c r="C2">
        <f>$B$27/B2</f>
        <v>0.59531090723751279</v>
      </c>
      <c r="D2">
        <f>4-C2</f>
        <v>3.4046890927624873</v>
      </c>
    </row>
    <row r="3" spans="1:4" x14ac:dyDescent="0.3">
      <c r="A3" t="s">
        <v>4</v>
      </c>
      <c r="B3">
        <v>169.7</v>
      </c>
      <c r="C3">
        <f>$B$27/B3</f>
        <v>1.7206835592221568</v>
      </c>
      <c r="D3">
        <f t="shared" ref="D3:D24" si="0">4-C3</f>
        <v>2.2793164407778432</v>
      </c>
    </row>
    <row r="4" spans="1:4" x14ac:dyDescent="0.3">
      <c r="A4" t="s">
        <v>5</v>
      </c>
      <c r="B4">
        <v>459.3</v>
      </c>
      <c r="C4">
        <f>$B$27/B4</f>
        <v>0.63575005443065535</v>
      </c>
      <c r="D4">
        <f t="shared" si="0"/>
        <v>3.3642499455693446</v>
      </c>
    </row>
    <row r="5" spans="1:4" x14ac:dyDescent="0.3">
      <c r="A5" t="s">
        <v>6</v>
      </c>
      <c r="B5">
        <v>312.2</v>
      </c>
      <c r="C5">
        <f>$B$27/B5</f>
        <v>0.93529788597053176</v>
      </c>
      <c r="D5">
        <f t="shared" si="0"/>
        <v>3.0647021140294681</v>
      </c>
    </row>
    <row r="6" spans="1:4" x14ac:dyDescent="0.3">
      <c r="A6" t="s">
        <v>2</v>
      </c>
      <c r="B6">
        <v>485.1</v>
      </c>
      <c r="C6">
        <f>$B$27/B6</f>
        <v>0.6019377447948876</v>
      </c>
      <c r="D6">
        <f t="shared" si="0"/>
        <v>3.3980622552051125</v>
      </c>
    </row>
    <row r="7" spans="1:4" x14ac:dyDescent="0.3">
      <c r="A7" t="s">
        <v>7</v>
      </c>
      <c r="B7">
        <v>277.7</v>
      </c>
      <c r="C7">
        <f>$B$27/B7</f>
        <v>1.0514944184371624</v>
      </c>
      <c r="D7">
        <f t="shared" si="0"/>
        <v>2.9485055815628378</v>
      </c>
    </row>
    <row r="8" spans="1:4" x14ac:dyDescent="0.3">
      <c r="A8" t="s">
        <v>8</v>
      </c>
      <c r="B8">
        <v>208.7</v>
      </c>
      <c r="C8">
        <f>$B$27/B8</f>
        <v>1.3991375179683758</v>
      </c>
      <c r="D8">
        <f t="shared" si="0"/>
        <v>2.6008624820316242</v>
      </c>
    </row>
    <row r="9" spans="1:4" x14ac:dyDescent="0.3">
      <c r="A9" t="s">
        <v>3</v>
      </c>
      <c r="B9">
        <v>408.2</v>
      </c>
      <c r="C9">
        <f>$B$27/B9</f>
        <v>0.71533561979421856</v>
      </c>
      <c r="D9">
        <f t="shared" si="0"/>
        <v>3.2846643802057813</v>
      </c>
    </row>
    <row r="10" spans="1:4" x14ac:dyDescent="0.3">
      <c r="A10" t="s">
        <v>9</v>
      </c>
      <c r="B10">
        <v>139.6</v>
      </c>
      <c r="C10">
        <f>$B$27/B10</f>
        <v>2.0916905444126077</v>
      </c>
      <c r="D10">
        <f t="shared" si="0"/>
        <v>1.9083094555873923</v>
      </c>
    </row>
    <row r="11" spans="1:4" x14ac:dyDescent="0.3">
      <c r="A11" t="s">
        <v>10</v>
      </c>
      <c r="B11">
        <v>163.5</v>
      </c>
      <c r="C11">
        <f>$B$27/B11</f>
        <v>1.7859327217125383</v>
      </c>
      <c r="D11">
        <f t="shared" si="0"/>
        <v>2.2140672782874615</v>
      </c>
    </row>
    <row r="12" spans="1:4" x14ac:dyDescent="0.3">
      <c r="A12" t="s">
        <v>11</v>
      </c>
      <c r="B12">
        <v>342.4</v>
      </c>
      <c r="C12">
        <f>$B$27/B12</f>
        <v>0.85280373831775702</v>
      </c>
      <c r="D12">
        <f t="shared" si="0"/>
        <v>3.1471962616822431</v>
      </c>
    </row>
    <row r="13" spans="1:4" x14ac:dyDescent="0.3">
      <c r="A13" t="s">
        <v>12</v>
      </c>
      <c r="B13">
        <v>516.1</v>
      </c>
      <c r="C13">
        <f>$B$27/B13</f>
        <v>0.56578182522766907</v>
      </c>
      <c r="D13">
        <f t="shared" si="0"/>
        <v>3.4342181747723308</v>
      </c>
    </row>
    <row r="14" spans="1:4" x14ac:dyDescent="0.3">
      <c r="A14" t="s">
        <v>13</v>
      </c>
      <c r="B14">
        <v>279.10000000000002</v>
      </c>
      <c r="C14">
        <f>$B$27/B14</f>
        <v>1.0462199928341096</v>
      </c>
      <c r="D14">
        <f t="shared" si="0"/>
        <v>2.9537800071658902</v>
      </c>
    </row>
    <row r="15" spans="1:4" x14ac:dyDescent="0.3">
      <c r="A15" t="s">
        <v>15</v>
      </c>
      <c r="B15">
        <v>294.8</v>
      </c>
      <c r="C15">
        <f>$B$27/B15</f>
        <v>0.99050203527815461</v>
      </c>
      <c r="D15">
        <f t="shared" si="0"/>
        <v>3.0094979647218452</v>
      </c>
    </row>
    <row r="16" spans="1:4" x14ac:dyDescent="0.3">
      <c r="A16" t="s">
        <v>16</v>
      </c>
      <c r="B16">
        <v>370.4</v>
      </c>
      <c r="C16">
        <f>$B$27/B16</f>
        <v>0.78833693304535646</v>
      </c>
      <c r="D16">
        <f t="shared" si="0"/>
        <v>3.2116630669546433</v>
      </c>
    </row>
    <row r="17" spans="1:4" x14ac:dyDescent="0.3">
      <c r="A17" t="s">
        <v>17</v>
      </c>
      <c r="B17">
        <v>192.9</v>
      </c>
      <c r="C17">
        <f>$B$27/B17</f>
        <v>1.5137376879212026</v>
      </c>
      <c r="D17">
        <f t="shared" si="0"/>
        <v>2.4862623120787974</v>
      </c>
    </row>
    <row r="18" spans="1:4" x14ac:dyDescent="0.3">
      <c r="A18" t="s">
        <v>14</v>
      </c>
      <c r="B18" s="1">
        <v>9.6999999999999993</v>
      </c>
      <c r="C18">
        <f t="shared" ref="C18:C21" si="1">$B$27/B18</f>
        <v>30.103092783505158</v>
      </c>
      <c r="D18">
        <f t="shared" si="0"/>
        <v>-26.103092783505158</v>
      </c>
    </row>
    <row r="19" spans="1:4" x14ac:dyDescent="0.3">
      <c r="A19" t="s">
        <v>18</v>
      </c>
      <c r="B19" s="1">
        <v>27.7</v>
      </c>
      <c r="C19">
        <f t="shared" si="1"/>
        <v>10.541516245487365</v>
      </c>
      <c r="D19">
        <f t="shared" si="0"/>
        <v>-6.5415162454873652</v>
      </c>
    </row>
    <row r="20" spans="1:4" x14ac:dyDescent="0.3">
      <c r="A20" t="s">
        <v>19</v>
      </c>
      <c r="B20">
        <v>73</v>
      </c>
      <c r="C20">
        <f t="shared" si="1"/>
        <v>4</v>
      </c>
      <c r="D20">
        <f t="shared" si="0"/>
        <v>0</v>
      </c>
    </row>
    <row r="21" spans="1:4" x14ac:dyDescent="0.3">
      <c r="A21" t="s">
        <v>20</v>
      </c>
      <c r="B21" s="1">
        <v>53.5</v>
      </c>
      <c r="C21">
        <f t="shared" si="1"/>
        <v>5.4579439252336446</v>
      </c>
      <c r="D21">
        <f t="shared" si="0"/>
        <v>-1.4579439252336446</v>
      </c>
    </row>
    <row r="22" spans="1:4" x14ac:dyDescent="0.3">
      <c r="A22" t="s">
        <v>21</v>
      </c>
      <c r="B22" s="2">
        <v>279.5</v>
      </c>
      <c r="C22">
        <f>$B$27/B22</f>
        <v>1.0447227191413238</v>
      </c>
      <c r="D22">
        <f t="shared" si="0"/>
        <v>2.9552772808586765</v>
      </c>
    </row>
    <row r="23" spans="1:4" x14ac:dyDescent="0.3">
      <c r="A23" t="s">
        <v>22</v>
      </c>
      <c r="B23" s="2">
        <v>606.9</v>
      </c>
      <c r="C23">
        <f>$B$27/B23</f>
        <v>0.48113362992255726</v>
      </c>
      <c r="D23">
        <f t="shared" si="0"/>
        <v>3.5188663700774425</v>
      </c>
    </row>
    <row r="24" spans="1:4" x14ac:dyDescent="0.3">
      <c r="A24" t="s">
        <v>23</v>
      </c>
      <c r="B24" s="2">
        <v>463.1</v>
      </c>
      <c r="C24">
        <f>$B$27/B24</f>
        <v>0.63053336212481104</v>
      </c>
      <c r="D24">
        <f t="shared" si="0"/>
        <v>3.3694666378751892</v>
      </c>
    </row>
    <row r="26" spans="1:4" x14ac:dyDescent="0.3">
      <c r="A26" s="2" t="s">
        <v>27</v>
      </c>
    </row>
    <row r="27" spans="1:4" x14ac:dyDescent="0.3">
      <c r="B27">
        <f>4*B20</f>
        <v>292</v>
      </c>
      <c r="C27" t="s">
        <v>45</v>
      </c>
    </row>
    <row r="28" spans="1:4" x14ac:dyDescent="0.3">
      <c r="A28" s="1" t="s">
        <v>28</v>
      </c>
      <c r="D28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69786-8C32-444E-8C78-65CB55E27EC9}">
  <dimension ref="A1:H28"/>
  <sheetViews>
    <sheetView tabSelected="1" workbookViewId="0">
      <selection activeCell="N22" sqref="N22"/>
    </sheetView>
  </sheetViews>
  <sheetFormatPr defaultRowHeight="14.4" x14ac:dyDescent="0.3"/>
  <sheetData>
    <row r="1" spans="1:8" x14ac:dyDescent="0.3">
      <c r="A1" t="s">
        <v>0</v>
      </c>
      <c r="B1" t="s">
        <v>24</v>
      </c>
      <c r="C1" t="s">
        <v>25</v>
      </c>
      <c r="D1" t="s">
        <v>26</v>
      </c>
      <c r="F1" t="s">
        <v>46</v>
      </c>
    </row>
    <row r="2" spans="1:8" x14ac:dyDescent="0.3">
      <c r="A2" t="s">
        <v>29</v>
      </c>
      <c r="B2">
        <v>211.6</v>
      </c>
      <c r="C2">
        <f>$A$27/B2</f>
        <v>1.381852551984877</v>
      </c>
      <c r="D2">
        <f>4-C2</f>
        <v>2.6181474480151232</v>
      </c>
      <c r="F2">
        <f>4*B2/10</f>
        <v>84.64</v>
      </c>
    </row>
    <row r="3" spans="1:8" x14ac:dyDescent="0.3">
      <c r="A3" t="s">
        <v>30</v>
      </c>
      <c r="B3">
        <v>464.2</v>
      </c>
      <c r="C3">
        <f t="shared" ref="C3:C22" si="0">$A$27/B3</f>
        <v>0.62990090478242133</v>
      </c>
      <c r="D3">
        <f t="shared" ref="D3:D22" si="1">4-C3</f>
        <v>3.3700990952175784</v>
      </c>
      <c r="F3">
        <f t="shared" ref="F3:F22" si="2">4*B3/10</f>
        <v>185.68</v>
      </c>
    </row>
    <row r="4" spans="1:8" x14ac:dyDescent="0.3">
      <c r="A4" t="s">
        <v>31</v>
      </c>
      <c r="B4">
        <v>466.8</v>
      </c>
      <c r="C4">
        <f t="shared" si="0"/>
        <v>0.62639245929734355</v>
      </c>
      <c r="D4">
        <f t="shared" si="1"/>
        <v>3.3736075407026567</v>
      </c>
      <c r="F4">
        <f t="shared" si="2"/>
        <v>186.72</v>
      </c>
      <c r="H4" s="1"/>
    </row>
    <row r="5" spans="1:8" x14ac:dyDescent="0.3">
      <c r="A5" t="s">
        <v>32</v>
      </c>
      <c r="B5">
        <v>560.20000000000005</v>
      </c>
      <c r="C5">
        <f t="shared" si="0"/>
        <v>0.52195644412709741</v>
      </c>
      <c r="D5">
        <f t="shared" si="1"/>
        <v>3.4780435558729028</v>
      </c>
      <c r="F5">
        <f t="shared" si="2"/>
        <v>224.08</v>
      </c>
    </row>
    <row r="6" spans="1:8" x14ac:dyDescent="0.3">
      <c r="A6" t="s">
        <v>33</v>
      </c>
      <c r="B6">
        <v>73.099999999999994</v>
      </c>
      <c r="C6">
        <f t="shared" si="0"/>
        <v>4</v>
      </c>
      <c r="D6">
        <f t="shared" si="1"/>
        <v>0</v>
      </c>
      <c r="F6">
        <f t="shared" si="2"/>
        <v>29.24</v>
      </c>
      <c r="G6" s="4">
        <f t="shared" ref="G6:G21" si="3">F6*10/12.5-10</f>
        <v>13.391999999999999</v>
      </c>
    </row>
    <row r="7" spans="1:8" x14ac:dyDescent="0.3">
      <c r="A7" t="s">
        <v>34</v>
      </c>
      <c r="B7">
        <v>123.6</v>
      </c>
      <c r="C7">
        <f t="shared" si="0"/>
        <v>2.3656957928802589</v>
      </c>
      <c r="D7">
        <f t="shared" si="1"/>
        <v>1.6343042071197411</v>
      </c>
      <c r="F7">
        <f t="shared" si="2"/>
        <v>49.44</v>
      </c>
    </row>
    <row r="8" spans="1:8" x14ac:dyDescent="0.3">
      <c r="A8" t="s">
        <v>35</v>
      </c>
      <c r="B8">
        <v>47.7</v>
      </c>
      <c r="C8">
        <f t="shared" si="0"/>
        <v>6.1299790356394119</v>
      </c>
      <c r="D8">
        <f t="shared" si="1"/>
        <v>-2.1299790356394119</v>
      </c>
      <c r="F8">
        <f t="shared" si="2"/>
        <v>19.080000000000002</v>
      </c>
      <c r="G8" s="4">
        <f t="shared" si="3"/>
        <v>5.2640000000000011</v>
      </c>
    </row>
    <row r="9" spans="1:8" x14ac:dyDescent="0.3">
      <c r="A9" t="s">
        <v>44</v>
      </c>
      <c r="B9">
        <v>51.3</v>
      </c>
      <c r="C9">
        <f t="shared" si="0"/>
        <v>5.6998050682261203</v>
      </c>
      <c r="D9">
        <f t="shared" si="1"/>
        <v>-1.6998050682261203</v>
      </c>
      <c r="F9">
        <f t="shared" si="2"/>
        <v>20.52</v>
      </c>
      <c r="G9" s="4">
        <f t="shared" si="3"/>
        <v>6.4160000000000004</v>
      </c>
      <c r="H9" s="1"/>
    </row>
    <row r="10" spans="1:8" x14ac:dyDescent="0.3">
      <c r="A10" t="s">
        <v>36</v>
      </c>
      <c r="B10">
        <v>301.8</v>
      </c>
      <c r="C10">
        <f t="shared" si="0"/>
        <v>0.9688535453943008</v>
      </c>
      <c r="D10">
        <f t="shared" si="1"/>
        <v>3.0311464546056994</v>
      </c>
      <c r="F10">
        <f t="shared" si="2"/>
        <v>120.72</v>
      </c>
    </row>
    <row r="11" spans="1:8" x14ac:dyDescent="0.3">
      <c r="A11" t="s">
        <v>37</v>
      </c>
      <c r="B11">
        <v>459.9</v>
      </c>
      <c r="C11">
        <f t="shared" si="0"/>
        <v>0.63579038921504671</v>
      </c>
      <c r="D11">
        <f t="shared" si="1"/>
        <v>3.3642096107849531</v>
      </c>
      <c r="F11">
        <f t="shared" si="2"/>
        <v>183.95999999999998</v>
      </c>
      <c r="H11" s="1"/>
    </row>
    <row r="12" spans="1:8" x14ac:dyDescent="0.3">
      <c r="A12" t="s">
        <v>38</v>
      </c>
      <c r="B12">
        <v>233.1</v>
      </c>
      <c r="C12">
        <f t="shared" si="0"/>
        <v>1.2543972543972544</v>
      </c>
      <c r="D12">
        <f t="shared" si="1"/>
        <v>2.7456027456027456</v>
      </c>
      <c r="F12">
        <f t="shared" si="2"/>
        <v>93.24</v>
      </c>
      <c r="H12" s="1"/>
    </row>
    <row r="13" spans="1:8" x14ac:dyDescent="0.3">
      <c r="A13" t="s">
        <v>39</v>
      </c>
      <c r="B13">
        <v>416.7</v>
      </c>
      <c r="C13">
        <f t="shared" si="0"/>
        <v>0.70170386369090465</v>
      </c>
      <c r="D13">
        <f t="shared" si="1"/>
        <v>3.2982961363090952</v>
      </c>
      <c r="F13">
        <f t="shared" si="2"/>
        <v>166.68</v>
      </c>
      <c r="H13" s="1"/>
    </row>
    <row r="14" spans="1:8" x14ac:dyDescent="0.3">
      <c r="A14" t="s">
        <v>40</v>
      </c>
      <c r="B14">
        <v>247.9</v>
      </c>
      <c r="C14">
        <f t="shared" si="0"/>
        <v>1.1795078660750302</v>
      </c>
      <c r="D14">
        <f t="shared" si="1"/>
        <v>2.8204921339249696</v>
      </c>
      <c r="F14">
        <f t="shared" si="2"/>
        <v>99.16</v>
      </c>
      <c r="H14" s="1"/>
    </row>
    <row r="15" spans="1:8" x14ac:dyDescent="0.3">
      <c r="A15" t="s">
        <v>41</v>
      </c>
      <c r="B15">
        <v>347.5</v>
      </c>
      <c r="C15">
        <f t="shared" si="0"/>
        <v>0.84143884892086329</v>
      </c>
      <c r="D15">
        <f t="shared" si="1"/>
        <v>3.1585611510791365</v>
      </c>
      <c r="F15">
        <f t="shared" si="2"/>
        <v>139</v>
      </c>
    </row>
    <row r="16" spans="1:8" x14ac:dyDescent="0.3">
      <c r="A16" t="s">
        <v>42</v>
      </c>
      <c r="B16">
        <v>497.6</v>
      </c>
      <c r="C16">
        <f t="shared" si="0"/>
        <v>0.58762057877813501</v>
      </c>
      <c r="D16">
        <f t="shared" si="1"/>
        <v>3.412379421221865</v>
      </c>
      <c r="F16">
        <f t="shared" si="2"/>
        <v>199.04000000000002</v>
      </c>
      <c r="H16" s="1"/>
    </row>
    <row r="17" spans="1:8" x14ac:dyDescent="0.3">
      <c r="A17" t="s">
        <v>43</v>
      </c>
      <c r="B17">
        <v>148.5</v>
      </c>
      <c r="C17">
        <f t="shared" si="0"/>
        <v>1.9690235690235689</v>
      </c>
      <c r="D17">
        <f t="shared" si="1"/>
        <v>2.0309764309764313</v>
      </c>
      <c r="F17">
        <f t="shared" si="2"/>
        <v>59.4</v>
      </c>
    </row>
    <row r="18" spans="1:8" x14ac:dyDescent="0.3">
      <c r="B18" s="3"/>
      <c r="F18">
        <f t="shared" si="2"/>
        <v>0</v>
      </c>
    </row>
    <row r="19" spans="1:8" x14ac:dyDescent="0.3">
      <c r="A19" t="s">
        <v>14</v>
      </c>
      <c r="B19" s="3">
        <v>8.5</v>
      </c>
      <c r="C19">
        <f t="shared" si="0"/>
        <v>34.4</v>
      </c>
      <c r="D19">
        <f t="shared" si="1"/>
        <v>-30.4</v>
      </c>
      <c r="F19">
        <f t="shared" si="2"/>
        <v>3.4</v>
      </c>
      <c r="G19" s="1">
        <v>0</v>
      </c>
    </row>
    <row r="20" spans="1:8" x14ac:dyDescent="0.3">
      <c r="A20" t="s">
        <v>18</v>
      </c>
      <c r="B20" s="3">
        <v>41</v>
      </c>
      <c r="C20">
        <f t="shared" si="0"/>
        <v>7.13170731707317</v>
      </c>
      <c r="D20">
        <f t="shared" si="1"/>
        <v>-3.13170731707317</v>
      </c>
      <c r="F20">
        <f t="shared" si="2"/>
        <v>16.399999999999999</v>
      </c>
      <c r="G20" s="4">
        <f t="shared" si="3"/>
        <v>3.1199999999999992</v>
      </c>
    </row>
    <row r="21" spans="1:8" x14ac:dyDescent="0.3">
      <c r="A21" t="s">
        <v>19</v>
      </c>
      <c r="B21" s="3">
        <v>66.900000000000006</v>
      </c>
      <c r="C21">
        <f t="shared" si="0"/>
        <v>4.3707025411061275</v>
      </c>
      <c r="D21">
        <f t="shared" si="1"/>
        <v>-0.37070254110612755</v>
      </c>
      <c r="F21">
        <f>4*B21/10</f>
        <v>26.76</v>
      </c>
      <c r="G21" s="4">
        <f t="shared" si="3"/>
        <v>11.408000000000001</v>
      </c>
    </row>
    <row r="22" spans="1:8" x14ac:dyDescent="0.3">
      <c r="A22" t="s">
        <v>20</v>
      </c>
      <c r="B22" s="3">
        <v>29</v>
      </c>
      <c r="C22">
        <f t="shared" si="0"/>
        <v>10.082758620689654</v>
      </c>
      <c r="D22">
        <f t="shared" si="1"/>
        <v>-6.0827586206896544</v>
      </c>
      <c r="F22">
        <f t="shared" si="2"/>
        <v>11.6</v>
      </c>
      <c r="G22" s="4">
        <v>0</v>
      </c>
    </row>
    <row r="23" spans="1:8" x14ac:dyDescent="0.3">
      <c r="B23" s="3"/>
    </row>
    <row r="24" spans="1:8" x14ac:dyDescent="0.3">
      <c r="A24" s="2" t="s">
        <v>27</v>
      </c>
      <c r="B24" s="3"/>
    </row>
    <row r="25" spans="1:8" x14ac:dyDescent="0.3">
      <c r="A25" s="1" t="s">
        <v>28</v>
      </c>
      <c r="H25" t="s">
        <v>50</v>
      </c>
    </row>
    <row r="27" spans="1:8" x14ac:dyDescent="0.3">
      <c r="A27">
        <f>4*B6</f>
        <v>292.39999999999998</v>
      </c>
      <c r="B27" t="s">
        <v>45</v>
      </c>
      <c r="F27" t="s">
        <v>48</v>
      </c>
    </row>
    <row r="28" spans="1:8" x14ac:dyDescent="0.3">
      <c r="G28" t="s">
        <v>49</v>
      </c>
    </row>
  </sheetData>
  <conditionalFormatting sqref="B1:B22">
    <cfRule type="cellIs" dxfId="2" priority="1" operator="lessThan">
      <formula>73.2</formula>
    </cfRule>
    <cfRule type="cellIs" dxfId="1" priority="3" operator="lessThan">
      <formula>60</formula>
    </cfRule>
  </conditionalFormatting>
  <conditionalFormatting sqref="B2:B22">
    <cfRule type="cellIs" dxfId="0" priority="2" operator="greaterThan">
      <formula>559.95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19.03.2026</vt:lpstr>
      <vt:lpstr>24.03.2026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Coffee Wren</dc:creator>
  <cp:lastModifiedBy>Oliver Eyre</cp:lastModifiedBy>
  <dcterms:created xsi:type="dcterms:W3CDTF">2015-06-05T18:17:20Z</dcterms:created>
  <dcterms:modified xsi:type="dcterms:W3CDTF">2026-04-15T11:09:53Z</dcterms:modified>
</cp:coreProperties>
</file>