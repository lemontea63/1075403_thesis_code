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Data/SDS-PAGE/"/>
    </mc:Choice>
  </mc:AlternateContent>
  <xr:revisionPtr revIDLastSave="85" documentId="11_F25DC773A252ABDACC104839F91B631A5ADE58E8" xr6:coauthVersionLast="47" xr6:coauthVersionMax="47" xr10:uidLastSave="{6B9E0779-5A6F-47CB-88CC-AC538E8162E3}"/>
  <bookViews>
    <workbookView xWindow="-108" yWindow="-108" windowWidth="23256" windowHeight="13896" activeTab="1" xr2:uid="{00000000-000D-0000-FFFF-FFFF00000000}"/>
  </bookViews>
  <sheets>
    <sheet name="19.03.2026" sheetId="1" r:id="rId1"/>
    <sheet name="26.03.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21" i="2" s="1"/>
  <c r="D21" i="2" s="1"/>
  <c r="C19" i="2"/>
  <c r="D19" i="2" s="1"/>
  <c r="C18" i="2"/>
  <c r="D18" i="2" s="1"/>
  <c r="C17" i="2"/>
  <c r="D17" i="2" s="1"/>
  <c r="C16" i="2"/>
  <c r="D16" i="2" s="1"/>
  <c r="C15" i="2"/>
  <c r="D15" i="2" s="1"/>
  <c r="C20" i="1"/>
  <c r="D20" i="1" s="1"/>
  <c r="C21" i="1"/>
  <c r="D21" i="1" s="1"/>
  <c r="C15" i="1"/>
  <c r="D15" i="1" s="1"/>
  <c r="C16" i="1"/>
  <c r="D16" i="1"/>
  <c r="C17" i="1"/>
  <c r="D17" i="1"/>
  <c r="C18" i="1"/>
  <c r="D18" i="1"/>
  <c r="C19" i="1"/>
  <c r="D19" i="1"/>
  <c r="D3" i="1"/>
  <c r="D4" i="1"/>
  <c r="D5" i="1"/>
  <c r="D6" i="1"/>
  <c r="D7" i="1"/>
  <c r="D8" i="1"/>
  <c r="D2" i="1"/>
  <c r="C3" i="1"/>
  <c r="C4" i="1"/>
  <c r="C5" i="1"/>
  <c r="C6" i="1"/>
  <c r="C7" i="1"/>
  <c r="C8" i="1"/>
  <c r="C2" i="1"/>
  <c r="C10" i="1"/>
  <c r="C20" i="2" l="1"/>
  <c r="D20" i="2" s="1"/>
  <c r="C8" i="2"/>
  <c r="D8" i="2" s="1"/>
  <c r="C2" i="2"/>
  <c r="D2" i="2" s="1"/>
  <c r="C3" i="2"/>
  <c r="D3" i="2" s="1"/>
  <c r="C4" i="2"/>
  <c r="D4" i="2" s="1"/>
  <c r="C5" i="2"/>
  <c r="D5" i="2" s="1"/>
  <c r="C6" i="2"/>
  <c r="D6" i="2" s="1"/>
  <c r="C7" i="2"/>
  <c r="D7" i="2" s="1"/>
</calcChain>
</file>

<file path=xl/sharedStrings.xml><?xml version="1.0" encoding="utf-8"?>
<sst xmlns="http://schemas.openxmlformats.org/spreadsheetml/2006/main" count="51" uniqueCount="15">
  <si>
    <t>Protein</t>
  </si>
  <si>
    <t>Concentration</t>
  </si>
  <si>
    <t>Pp-L</t>
  </si>
  <si>
    <t>Pp-S</t>
  </si>
  <si>
    <t>Gc</t>
  </si>
  <si>
    <t>Pu</t>
  </si>
  <si>
    <t>Fs-S</t>
  </si>
  <si>
    <t>Fs-L</t>
  </si>
  <si>
    <t>AtPCO4</t>
  </si>
  <si>
    <t>uL protein needed (normalised to lowest conc)</t>
  </si>
  <si>
    <t>SEC added</t>
  </si>
  <si>
    <t>Normalise to:</t>
  </si>
  <si>
    <t>After diluting Fs-L and AtPCO4</t>
  </si>
  <si>
    <t>ug protein per sample</t>
  </si>
  <si>
    <t>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</si>
</sst>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I19" sqref="I19"/>
    </sheetView>
  </sheetViews>
  <sheetFormatPr defaultRowHeight="14.4" x14ac:dyDescent="0.3"/>
  <cols>
    <col min="7" max="7" width="12" bestFit="1" customWidth="1"/>
  </cols>
  <sheetData>
    <row r="1" spans="1:5" x14ac:dyDescent="0.3">
      <c r="A1" t="s">
        <v>0</v>
      </c>
      <c r="B1" t="s">
        <v>1</v>
      </c>
      <c r="C1" t="s">
        <v>9</v>
      </c>
      <c r="D1" t="s">
        <v>10</v>
      </c>
    </row>
    <row r="2" spans="1:5" x14ac:dyDescent="0.3">
      <c r="A2" t="s">
        <v>2</v>
      </c>
      <c r="B2">
        <v>2.6859999999999999</v>
      </c>
      <c r="C2">
        <f>$C$10/B2</f>
        <v>6.8019359642591217</v>
      </c>
      <c r="D2">
        <f>7.5-C2</f>
        <v>0.69806403574087827</v>
      </c>
    </row>
    <row r="3" spans="1:5" x14ac:dyDescent="0.3">
      <c r="A3" t="s">
        <v>3</v>
      </c>
      <c r="B3">
        <v>2.4359999999999999</v>
      </c>
      <c r="C3">
        <f t="shared" ref="C3:C8" si="0">$C$10/B3</f>
        <v>7.5</v>
      </c>
      <c r="D3">
        <f t="shared" ref="D3:D8" si="1">7.5-C3</f>
        <v>0</v>
      </c>
    </row>
    <row r="4" spans="1:5" x14ac:dyDescent="0.3">
      <c r="A4" t="s">
        <v>4</v>
      </c>
      <c r="B4">
        <v>4.907</v>
      </c>
      <c r="C4">
        <f t="shared" si="0"/>
        <v>3.7232524964336662</v>
      </c>
      <c r="D4">
        <f t="shared" si="1"/>
        <v>3.7767475035663338</v>
      </c>
    </row>
    <row r="5" spans="1:5" x14ac:dyDescent="0.3">
      <c r="A5" t="s">
        <v>5</v>
      </c>
      <c r="B5">
        <v>3.8980000000000001</v>
      </c>
      <c r="C5">
        <f t="shared" si="0"/>
        <v>4.687018984094407</v>
      </c>
      <c r="D5">
        <f t="shared" si="1"/>
        <v>2.812981015905593</v>
      </c>
    </row>
    <row r="6" spans="1:5" x14ac:dyDescent="0.3">
      <c r="A6" t="s">
        <v>6</v>
      </c>
      <c r="B6">
        <v>5.8460000000000001</v>
      </c>
      <c r="C6">
        <f t="shared" si="0"/>
        <v>3.1252138214163527</v>
      </c>
      <c r="D6">
        <f t="shared" si="1"/>
        <v>4.3747861785836477</v>
      </c>
    </row>
    <row r="7" spans="1:5" x14ac:dyDescent="0.3">
      <c r="A7" t="s">
        <v>7</v>
      </c>
      <c r="B7">
        <v>42.889000000000003</v>
      </c>
      <c r="C7">
        <f t="shared" si="0"/>
        <v>0.42598335237473473</v>
      </c>
      <c r="D7">
        <f t="shared" si="1"/>
        <v>7.0740166476252657</v>
      </c>
    </row>
    <row r="8" spans="1:5" x14ac:dyDescent="0.3">
      <c r="A8" t="s">
        <v>8</v>
      </c>
      <c r="B8">
        <v>69.778000000000006</v>
      </c>
      <c r="C8">
        <f t="shared" si="0"/>
        <v>0.26183037633638107</v>
      </c>
      <c r="D8">
        <f t="shared" si="1"/>
        <v>7.2381696236636186</v>
      </c>
    </row>
    <row r="10" spans="1:5" x14ac:dyDescent="0.3">
      <c r="A10" t="s">
        <v>11</v>
      </c>
      <c r="C10">
        <f>2.436*7.5</f>
        <v>18.27</v>
      </c>
      <c r="D10" t="s">
        <v>13</v>
      </c>
    </row>
    <row r="13" spans="1:5" x14ac:dyDescent="0.3">
      <c r="A13" t="s">
        <v>12</v>
      </c>
    </row>
    <row r="14" spans="1:5" x14ac:dyDescent="0.3">
      <c r="A14" t="s">
        <v>0</v>
      </c>
      <c r="B14" t="s">
        <v>1</v>
      </c>
      <c r="C14" t="s">
        <v>9</v>
      </c>
      <c r="D14" t="s">
        <v>10</v>
      </c>
      <c r="E14" t="s">
        <v>14</v>
      </c>
    </row>
    <row r="15" spans="1:5" x14ac:dyDescent="0.3">
      <c r="A15" t="s">
        <v>2</v>
      </c>
      <c r="B15">
        <v>2.6859999999999999</v>
      </c>
      <c r="C15">
        <f>$C$10/B15</f>
        <v>6.8019359642591217</v>
      </c>
      <c r="D15">
        <f>7.5-C15</f>
        <v>0.69806403574087827</v>
      </c>
    </row>
    <row r="16" spans="1:5" x14ac:dyDescent="0.3">
      <c r="A16" t="s">
        <v>3</v>
      </c>
      <c r="B16">
        <v>2.4359999999999999</v>
      </c>
      <c r="C16">
        <f t="shared" ref="C16:C21" si="2">$C$10/B16</f>
        <v>7.5</v>
      </c>
      <c r="D16">
        <f t="shared" ref="D16:D21" si="3">7.5-C16</f>
        <v>0</v>
      </c>
    </row>
    <row r="17" spans="1:4" x14ac:dyDescent="0.3">
      <c r="A17" t="s">
        <v>4</v>
      </c>
      <c r="B17">
        <v>4.907</v>
      </c>
      <c r="C17">
        <f t="shared" si="2"/>
        <v>3.7232524964336662</v>
      </c>
      <c r="D17">
        <f t="shared" si="3"/>
        <v>3.7767475035663338</v>
      </c>
    </row>
    <row r="18" spans="1:4" x14ac:dyDescent="0.3">
      <c r="A18" t="s">
        <v>5</v>
      </c>
      <c r="B18">
        <v>3.8980000000000001</v>
      </c>
      <c r="C18">
        <f t="shared" si="2"/>
        <v>4.687018984094407</v>
      </c>
      <c r="D18">
        <f t="shared" si="3"/>
        <v>2.812981015905593</v>
      </c>
    </row>
    <row r="19" spans="1:4" x14ac:dyDescent="0.3">
      <c r="A19" t="s">
        <v>6</v>
      </c>
      <c r="B19">
        <v>5.8460000000000001</v>
      </c>
      <c r="C19">
        <f t="shared" si="2"/>
        <v>3.1252138214163527</v>
      </c>
      <c r="D19">
        <f t="shared" si="3"/>
        <v>4.3747861785836477</v>
      </c>
    </row>
    <row r="20" spans="1:4" x14ac:dyDescent="0.3">
      <c r="A20" t="s">
        <v>7</v>
      </c>
      <c r="B20">
        <v>13.173999999999999</v>
      </c>
      <c r="C20">
        <f t="shared" si="2"/>
        <v>1.3868225292242295</v>
      </c>
      <c r="D20">
        <f t="shared" si="3"/>
        <v>6.1131774707757707</v>
      </c>
    </row>
    <row r="21" spans="1:4" x14ac:dyDescent="0.3">
      <c r="A21" t="s">
        <v>8</v>
      </c>
      <c r="B21">
        <v>31.236000000000001</v>
      </c>
      <c r="C21">
        <f t="shared" si="2"/>
        <v>0.58490203611217828</v>
      </c>
      <c r="D21">
        <f t="shared" si="3"/>
        <v>6.9150979638878214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F05C-B447-4613-975A-62872C472342}">
  <dimension ref="A1:D21"/>
  <sheetViews>
    <sheetView tabSelected="1" workbookViewId="0">
      <selection activeCell="D16" sqref="D16"/>
    </sheetView>
  </sheetViews>
  <sheetFormatPr defaultRowHeight="14.4" x14ac:dyDescent="0.3"/>
  <cols>
    <col min="7" max="7" width="12" bestFit="1" customWidth="1"/>
  </cols>
  <sheetData>
    <row r="1" spans="1:4" x14ac:dyDescent="0.3">
      <c r="A1" t="s">
        <v>0</v>
      </c>
      <c r="B1" t="s">
        <v>1</v>
      </c>
      <c r="C1" t="s">
        <v>9</v>
      </c>
      <c r="D1" t="s">
        <v>10</v>
      </c>
    </row>
    <row r="2" spans="1:4" x14ac:dyDescent="0.3">
      <c r="A2" t="s">
        <v>2</v>
      </c>
      <c r="B2">
        <v>1.2</v>
      </c>
      <c r="C2">
        <f>$C$10/B2</f>
        <v>8</v>
      </c>
      <c r="D2">
        <f>8-C2</f>
        <v>0</v>
      </c>
    </row>
    <row r="3" spans="1:4" x14ac:dyDescent="0.3">
      <c r="A3" t="s">
        <v>3</v>
      </c>
      <c r="B3">
        <v>2.6789999999999998</v>
      </c>
      <c r="C3">
        <f t="shared" ref="C3:C8" si="0">$C$10/B3</f>
        <v>3.5834266517357225</v>
      </c>
      <c r="D3">
        <f t="shared" ref="D3:D8" si="1">8-C3</f>
        <v>4.4165733482642775</v>
      </c>
    </row>
    <row r="4" spans="1:4" x14ac:dyDescent="0.3">
      <c r="A4" t="s">
        <v>4</v>
      </c>
      <c r="B4">
        <v>2.1150000000000002</v>
      </c>
      <c r="C4">
        <f t="shared" si="0"/>
        <v>4.539007092198581</v>
      </c>
      <c r="D4">
        <f t="shared" si="1"/>
        <v>3.460992907801419</v>
      </c>
    </row>
    <row r="5" spans="1:4" x14ac:dyDescent="0.3">
      <c r="A5" t="s">
        <v>5</v>
      </c>
      <c r="B5">
        <v>1.6</v>
      </c>
      <c r="C5">
        <f t="shared" si="0"/>
        <v>5.9999999999999991</v>
      </c>
      <c r="D5">
        <f t="shared" si="1"/>
        <v>2.0000000000000009</v>
      </c>
    </row>
    <row r="6" spans="1:4" x14ac:dyDescent="0.3">
      <c r="A6" t="s">
        <v>6</v>
      </c>
      <c r="B6">
        <v>2.2999999999999998</v>
      </c>
      <c r="C6">
        <f t="shared" si="0"/>
        <v>4.1739130434782608</v>
      </c>
      <c r="D6">
        <f t="shared" si="1"/>
        <v>3.8260869565217392</v>
      </c>
    </row>
    <row r="7" spans="1:4" x14ac:dyDescent="0.3">
      <c r="A7" t="s">
        <v>7</v>
      </c>
      <c r="B7">
        <v>48</v>
      </c>
      <c r="C7">
        <f t="shared" si="0"/>
        <v>0.19999999999999998</v>
      </c>
      <c r="D7">
        <f t="shared" si="1"/>
        <v>7.8</v>
      </c>
    </row>
    <row r="8" spans="1:4" x14ac:dyDescent="0.3">
      <c r="A8" t="s">
        <v>8</v>
      </c>
      <c r="B8">
        <v>75.099999999999994</v>
      </c>
      <c r="C8">
        <f t="shared" si="0"/>
        <v>0.12782956058588549</v>
      </c>
      <c r="D8">
        <f t="shared" si="1"/>
        <v>7.8721704394141145</v>
      </c>
    </row>
    <row r="10" spans="1:4" x14ac:dyDescent="0.3">
      <c r="A10" t="s">
        <v>11</v>
      </c>
      <c r="C10">
        <f>1.2*8</f>
        <v>9.6</v>
      </c>
      <c r="D10" t="s">
        <v>13</v>
      </c>
    </row>
    <row r="13" spans="1:4" x14ac:dyDescent="0.3">
      <c r="A13" t="s">
        <v>12</v>
      </c>
    </row>
    <row r="14" spans="1:4" x14ac:dyDescent="0.3">
      <c r="A14" t="s">
        <v>0</v>
      </c>
      <c r="B14" t="s">
        <v>1</v>
      </c>
      <c r="C14" t="s">
        <v>9</v>
      </c>
      <c r="D14" t="s">
        <v>10</v>
      </c>
    </row>
    <row r="15" spans="1:4" x14ac:dyDescent="0.3">
      <c r="A15" t="s">
        <v>2</v>
      </c>
      <c r="B15">
        <v>1.2</v>
      </c>
      <c r="C15">
        <f>$C$10/B15</f>
        <v>8</v>
      </c>
      <c r="D15">
        <f>8-C15</f>
        <v>0</v>
      </c>
    </row>
    <row r="16" spans="1:4" x14ac:dyDescent="0.3">
      <c r="A16" t="s">
        <v>3</v>
      </c>
      <c r="B16">
        <v>2.6789999999999998</v>
      </c>
      <c r="C16">
        <f t="shared" ref="C16:C21" si="2">$C$10/B16</f>
        <v>3.5834266517357225</v>
      </c>
      <c r="D16">
        <f t="shared" ref="D16:D21" si="3">8-C16</f>
        <v>4.4165733482642775</v>
      </c>
    </row>
    <row r="17" spans="1:4" x14ac:dyDescent="0.3">
      <c r="A17" t="s">
        <v>4</v>
      </c>
      <c r="B17">
        <v>2.1150000000000002</v>
      </c>
      <c r="C17">
        <f t="shared" si="2"/>
        <v>4.539007092198581</v>
      </c>
      <c r="D17">
        <f t="shared" si="3"/>
        <v>3.460992907801419</v>
      </c>
    </row>
    <row r="18" spans="1:4" x14ac:dyDescent="0.3">
      <c r="A18" t="s">
        <v>5</v>
      </c>
      <c r="B18">
        <v>1.6</v>
      </c>
      <c r="C18">
        <f t="shared" si="2"/>
        <v>5.9999999999999991</v>
      </c>
      <c r="D18">
        <f t="shared" si="3"/>
        <v>2.0000000000000009</v>
      </c>
    </row>
    <row r="19" spans="1:4" x14ac:dyDescent="0.3">
      <c r="A19" t="s">
        <v>6</v>
      </c>
      <c r="B19">
        <v>2.2999999999999998</v>
      </c>
      <c r="C19">
        <f t="shared" si="2"/>
        <v>4.1739130434782608</v>
      </c>
      <c r="D19">
        <f t="shared" si="3"/>
        <v>3.8260869565217392</v>
      </c>
    </row>
    <row r="20" spans="1:4" x14ac:dyDescent="0.3">
      <c r="A20" t="s">
        <v>7</v>
      </c>
      <c r="B20">
        <v>15.792</v>
      </c>
      <c r="C20">
        <f t="shared" si="2"/>
        <v>0.60790273556231</v>
      </c>
      <c r="D20">
        <f t="shared" si="3"/>
        <v>7.3920972644376901</v>
      </c>
    </row>
    <row r="21" spans="1:4" x14ac:dyDescent="0.3">
      <c r="A21" t="s">
        <v>8</v>
      </c>
      <c r="B21">
        <v>19.597999999999999</v>
      </c>
      <c r="C21">
        <f t="shared" si="2"/>
        <v>0.48984590264312688</v>
      </c>
      <c r="D21">
        <f t="shared" si="3"/>
        <v>7.5101540973568728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19.03.2026</vt:lpstr>
      <vt:lpstr>26.03.2026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Coffee Wren</dc:creator>
  <cp:lastModifiedBy>Oliver Eyre</cp:lastModifiedBy>
  <dcterms:created xsi:type="dcterms:W3CDTF">2015-06-05T18:17:20Z</dcterms:created>
  <dcterms:modified xsi:type="dcterms:W3CDTF">2026-03-26T13:21:10Z</dcterms:modified>
</cp:coreProperties>
</file>