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Data/RF Data/10.03_IA/"/>
    </mc:Choice>
  </mc:AlternateContent>
  <xr:revisionPtr revIDLastSave="444" documentId="8_{77A9DA72-EBFA-4FDA-B843-007811AB4FA7}" xr6:coauthVersionLast="47" xr6:coauthVersionMax="47" xr10:uidLastSave="{5F7F6F04-5098-4EA2-B76F-2954ECFF4741}"/>
  <bookViews>
    <workbookView xWindow="-108" yWindow="-108" windowWidth="23256" windowHeight="13896" firstSheet="2" activeTab="5" xr2:uid="{00000000-000D-0000-FFFF-FFFF00000000}"/>
  </bookViews>
  <sheets>
    <sheet name="Pp_Sml" sheetId="1" r:id="rId1"/>
    <sheet name="Pp_Lrg" sheetId="2" r:id="rId2"/>
    <sheet name="PuPCO" sheetId="3" r:id="rId3"/>
    <sheet name="Fs-L" sheetId="4" r:id="rId4"/>
    <sheet name="Gc" sheetId="5" r:id="rId5"/>
    <sheet name="Pp-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4" l="1"/>
  <c r="S19" i="4"/>
  <c r="S18" i="4"/>
  <c r="S17" i="4"/>
  <c r="S16" i="4"/>
  <c r="S15" i="4"/>
  <c r="S14" i="4"/>
  <c r="S13" i="4"/>
  <c r="S12" i="4"/>
  <c r="S11" i="4"/>
  <c r="S10" i="4"/>
  <c r="S9" i="4"/>
  <c r="S20" i="6"/>
  <c r="S19" i="6"/>
  <c r="S18" i="6"/>
  <c r="S17" i="6"/>
  <c r="S16" i="6"/>
  <c r="S15" i="6"/>
  <c r="S14" i="6"/>
  <c r="S13" i="6"/>
  <c r="S12" i="6"/>
  <c r="S11" i="6"/>
  <c r="S10" i="6"/>
  <c r="S9" i="6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20" i="5"/>
  <c r="S19" i="5"/>
  <c r="S18" i="5"/>
  <c r="S17" i="5"/>
  <c r="S16" i="5"/>
  <c r="S15" i="5"/>
  <c r="S14" i="5"/>
  <c r="S13" i="5"/>
  <c r="S12" i="5"/>
  <c r="S11" i="5"/>
  <c r="S10" i="5"/>
  <c r="S9" i="5"/>
  <c r="R20" i="5"/>
  <c r="R19" i="5"/>
  <c r="R18" i="5"/>
  <c r="R17" i="5"/>
  <c r="R16" i="5"/>
  <c r="R14" i="5"/>
  <c r="R15" i="5"/>
  <c r="J168" i="4"/>
  <c r="J167" i="4"/>
  <c r="J166" i="4"/>
  <c r="J163" i="4"/>
  <c r="J162" i="4"/>
  <c r="J161" i="4"/>
  <c r="J156" i="4"/>
  <c r="J155" i="4"/>
  <c r="J154" i="4"/>
  <c r="J151" i="4"/>
  <c r="J150" i="4"/>
  <c r="J149" i="4"/>
  <c r="J142" i="4"/>
  <c r="J141" i="4"/>
  <c r="K141" i="4" s="1"/>
  <c r="J140" i="4"/>
  <c r="J135" i="4"/>
  <c r="J134" i="4"/>
  <c r="J133" i="4"/>
  <c r="J128" i="4"/>
  <c r="J127" i="4"/>
  <c r="J126" i="4"/>
  <c r="J121" i="4"/>
  <c r="J120" i="4"/>
  <c r="J119" i="4"/>
  <c r="K119" i="4" s="1"/>
  <c r="J114" i="4"/>
  <c r="J113" i="4"/>
  <c r="J112" i="4"/>
  <c r="J107" i="4"/>
  <c r="J106" i="4"/>
  <c r="J105" i="4"/>
  <c r="J98" i="4"/>
  <c r="J97" i="4"/>
  <c r="J96" i="4"/>
  <c r="J93" i="4"/>
  <c r="J92" i="4"/>
  <c r="K92" i="4" s="1"/>
  <c r="J91" i="4"/>
  <c r="J86" i="4"/>
  <c r="J85" i="4"/>
  <c r="J84" i="4"/>
  <c r="J81" i="4"/>
  <c r="J80" i="4"/>
  <c r="J79" i="4"/>
  <c r="J74" i="4"/>
  <c r="J73" i="4"/>
  <c r="J72" i="4"/>
  <c r="J69" i="4"/>
  <c r="J68" i="4"/>
  <c r="J67" i="4"/>
  <c r="K67" i="4" s="1"/>
  <c r="J62" i="4"/>
  <c r="J61" i="4"/>
  <c r="J60" i="4"/>
  <c r="J57" i="4"/>
  <c r="J56" i="4"/>
  <c r="J55" i="4"/>
  <c r="J50" i="4"/>
  <c r="J49" i="4"/>
  <c r="J48" i="4"/>
  <c r="J45" i="4"/>
  <c r="J44" i="4"/>
  <c r="J43" i="4"/>
  <c r="J38" i="4"/>
  <c r="J37" i="4"/>
  <c r="J36" i="4"/>
  <c r="K36" i="4" s="1"/>
  <c r="J33" i="4"/>
  <c r="J32" i="4"/>
  <c r="J31" i="4"/>
  <c r="J26" i="4"/>
  <c r="J25" i="4"/>
  <c r="J24" i="4"/>
  <c r="J21" i="4"/>
  <c r="J20" i="4"/>
  <c r="J19" i="4"/>
  <c r="I21" i="4"/>
  <c r="I20" i="4"/>
  <c r="I19" i="4"/>
  <c r="I14" i="4"/>
  <c r="I13" i="4"/>
  <c r="I12" i="4"/>
  <c r="I8" i="4"/>
  <c r="I9" i="4"/>
  <c r="I7" i="4"/>
  <c r="R13" i="5"/>
  <c r="R12" i="5"/>
  <c r="R11" i="5"/>
  <c r="R10" i="5"/>
  <c r="R9" i="5"/>
  <c r="R9" i="4"/>
  <c r="R17" i="4"/>
  <c r="R16" i="4"/>
  <c r="R15" i="4"/>
  <c r="R14" i="4"/>
  <c r="R13" i="4"/>
  <c r="R12" i="4"/>
  <c r="R11" i="4"/>
  <c r="R10" i="4"/>
  <c r="R20" i="4"/>
  <c r="R19" i="4"/>
  <c r="R18" i="4"/>
  <c r="R20" i="6"/>
  <c r="R19" i="6"/>
  <c r="R18" i="6"/>
  <c r="R17" i="6"/>
  <c r="R16" i="6"/>
  <c r="R15" i="6"/>
  <c r="R14" i="6"/>
  <c r="R13" i="6"/>
  <c r="R12" i="6"/>
  <c r="R11" i="6"/>
  <c r="R10" i="6"/>
  <c r="R9" i="6"/>
  <c r="N18" i="4"/>
  <c r="J16" i="5"/>
  <c r="J15" i="5"/>
  <c r="J14" i="5"/>
  <c r="J168" i="3"/>
  <c r="J28" i="5"/>
  <c r="J27" i="5"/>
  <c r="J26" i="5"/>
  <c r="J40" i="5"/>
  <c r="J39" i="5"/>
  <c r="J38" i="5"/>
  <c r="J52" i="5"/>
  <c r="J51" i="5"/>
  <c r="J50" i="5"/>
  <c r="J64" i="5"/>
  <c r="J63" i="5"/>
  <c r="J62" i="5"/>
  <c r="J88" i="5"/>
  <c r="J86" i="5"/>
  <c r="J76" i="5"/>
  <c r="J75" i="5"/>
  <c r="J74" i="5"/>
  <c r="J87" i="5"/>
  <c r="J83" i="5"/>
  <c r="O19" i="5"/>
  <c r="O20" i="3"/>
  <c r="O19" i="3"/>
  <c r="O18" i="3"/>
  <c r="O17" i="3"/>
  <c r="O16" i="3"/>
  <c r="O15" i="3"/>
  <c r="N15" i="3"/>
  <c r="O14" i="3"/>
  <c r="O13" i="3"/>
  <c r="O12" i="3"/>
  <c r="O11" i="3"/>
  <c r="O10" i="3"/>
  <c r="O9" i="3"/>
  <c r="N18" i="3"/>
  <c r="N19" i="3"/>
  <c r="N20" i="3"/>
  <c r="N17" i="3"/>
  <c r="N16" i="3"/>
  <c r="N14" i="3"/>
  <c r="N13" i="3"/>
  <c r="N12" i="3"/>
  <c r="N11" i="3"/>
  <c r="N10" i="3"/>
  <c r="N9" i="3"/>
  <c r="J168" i="6"/>
  <c r="K168" i="6" s="1"/>
  <c r="I168" i="6"/>
  <c r="J167" i="6"/>
  <c r="K167" i="6" s="1"/>
  <c r="I167" i="6"/>
  <c r="J166" i="6"/>
  <c r="K166" i="6" s="1"/>
  <c r="I166" i="6"/>
  <c r="J163" i="6"/>
  <c r="K163" i="6" s="1"/>
  <c r="I163" i="6"/>
  <c r="J162" i="6"/>
  <c r="K162" i="6" s="1"/>
  <c r="I162" i="6"/>
  <c r="K161" i="6"/>
  <c r="J161" i="6"/>
  <c r="I161" i="6"/>
  <c r="J156" i="6"/>
  <c r="K156" i="6" s="1"/>
  <c r="I156" i="6"/>
  <c r="J155" i="6"/>
  <c r="K155" i="6" s="1"/>
  <c r="I155" i="6"/>
  <c r="J154" i="6"/>
  <c r="K154" i="6" s="1"/>
  <c r="I154" i="6"/>
  <c r="J151" i="6"/>
  <c r="K151" i="6" s="1"/>
  <c r="I151" i="6"/>
  <c r="J150" i="6"/>
  <c r="K150" i="6" s="1"/>
  <c r="I150" i="6"/>
  <c r="J149" i="6"/>
  <c r="K149" i="6" s="1"/>
  <c r="I149" i="6"/>
  <c r="K142" i="6"/>
  <c r="J142" i="6"/>
  <c r="I142" i="6"/>
  <c r="J141" i="6"/>
  <c r="K141" i="6" s="1"/>
  <c r="I141" i="6"/>
  <c r="J140" i="6"/>
  <c r="K140" i="6" s="1"/>
  <c r="I140" i="6"/>
  <c r="J135" i="6"/>
  <c r="K135" i="6" s="1"/>
  <c r="I135" i="6"/>
  <c r="J134" i="6"/>
  <c r="K134" i="6" s="1"/>
  <c r="I134" i="6"/>
  <c r="J133" i="6"/>
  <c r="K133" i="6" s="1"/>
  <c r="I133" i="6"/>
  <c r="K170" i="5"/>
  <c r="J170" i="5"/>
  <c r="I170" i="5"/>
  <c r="J169" i="5"/>
  <c r="K169" i="5" s="1"/>
  <c r="I169" i="5"/>
  <c r="J168" i="5"/>
  <c r="K168" i="5" s="1"/>
  <c r="I168" i="5"/>
  <c r="J165" i="5"/>
  <c r="K165" i="5" s="1"/>
  <c r="I165" i="5"/>
  <c r="J164" i="5"/>
  <c r="K164" i="5" s="1"/>
  <c r="I164" i="5"/>
  <c r="J163" i="5"/>
  <c r="K163" i="5" s="1"/>
  <c r="I163" i="5"/>
  <c r="J158" i="5"/>
  <c r="K158" i="5" s="1"/>
  <c r="I158" i="5"/>
  <c r="J157" i="5"/>
  <c r="K157" i="5" s="1"/>
  <c r="I157" i="5"/>
  <c r="J156" i="5"/>
  <c r="K156" i="5" s="1"/>
  <c r="O20" i="5" s="1"/>
  <c r="I156" i="5"/>
  <c r="J153" i="5"/>
  <c r="K153" i="5" s="1"/>
  <c r="I153" i="5"/>
  <c r="J152" i="5"/>
  <c r="K152" i="5" s="1"/>
  <c r="I152" i="5"/>
  <c r="J151" i="5"/>
  <c r="K151" i="5" s="1"/>
  <c r="I151" i="5"/>
  <c r="K144" i="5"/>
  <c r="J144" i="5"/>
  <c r="I144" i="5"/>
  <c r="J143" i="5"/>
  <c r="K143" i="5" s="1"/>
  <c r="I143" i="5"/>
  <c r="J142" i="5"/>
  <c r="K142" i="5" s="1"/>
  <c r="I142" i="5"/>
  <c r="J137" i="5"/>
  <c r="K137" i="5" s="1"/>
  <c r="I137" i="5"/>
  <c r="K136" i="5"/>
  <c r="J136" i="5"/>
  <c r="I136" i="5"/>
  <c r="J135" i="5"/>
  <c r="K135" i="5" s="1"/>
  <c r="I135" i="5"/>
  <c r="J170" i="3"/>
  <c r="K170" i="3" s="1"/>
  <c r="I170" i="3"/>
  <c r="J169" i="3"/>
  <c r="K169" i="3" s="1"/>
  <c r="I169" i="3"/>
  <c r="K168" i="3"/>
  <c r="I168" i="3"/>
  <c r="J165" i="3"/>
  <c r="K165" i="3" s="1"/>
  <c r="I165" i="3"/>
  <c r="J164" i="3"/>
  <c r="K164" i="3" s="1"/>
  <c r="I164" i="3"/>
  <c r="K163" i="3"/>
  <c r="J163" i="3"/>
  <c r="I163" i="3"/>
  <c r="J158" i="3"/>
  <c r="K158" i="3" s="1"/>
  <c r="I158" i="3"/>
  <c r="J157" i="3"/>
  <c r="K157" i="3" s="1"/>
  <c r="I157" i="3"/>
  <c r="J156" i="3"/>
  <c r="K156" i="3" s="1"/>
  <c r="I156" i="3"/>
  <c r="J153" i="3"/>
  <c r="K153" i="3" s="1"/>
  <c r="I153" i="3"/>
  <c r="J152" i="3"/>
  <c r="K152" i="3" s="1"/>
  <c r="I152" i="3"/>
  <c r="J151" i="3"/>
  <c r="K151" i="3" s="1"/>
  <c r="I151" i="3"/>
  <c r="K144" i="3"/>
  <c r="J144" i="3"/>
  <c r="I144" i="3"/>
  <c r="J143" i="3"/>
  <c r="K143" i="3" s="1"/>
  <c r="I143" i="3"/>
  <c r="J142" i="3"/>
  <c r="K142" i="3" s="1"/>
  <c r="I142" i="3"/>
  <c r="J137" i="3"/>
  <c r="K137" i="3" s="1"/>
  <c r="I137" i="3"/>
  <c r="J136" i="3"/>
  <c r="K136" i="3" s="1"/>
  <c r="I136" i="3"/>
  <c r="J135" i="3"/>
  <c r="K135" i="3" s="1"/>
  <c r="I135" i="3"/>
  <c r="J130" i="3"/>
  <c r="K130" i="3" s="1"/>
  <c r="I130" i="3"/>
  <c r="J129" i="3"/>
  <c r="K129" i="3" s="1"/>
  <c r="I129" i="3"/>
  <c r="K128" i="3"/>
  <c r="J128" i="3"/>
  <c r="I128" i="3"/>
  <c r="J123" i="3"/>
  <c r="K123" i="3" s="1"/>
  <c r="I123" i="3"/>
  <c r="J122" i="3"/>
  <c r="K122" i="3" s="1"/>
  <c r="I122" i="3"/>
  <c r="J121" i="3"/>
  <c r="K121" i="3" s="1"/>
  <c r="I121" i="3"/>
  <c r="J116" i="3"/>
  <c r="K116" i="3" s="1"/>
  <c r="I116" i="3"/>
  <c r="J115" i="3"/>
  <c r="K115" i="3" s="1"/>
  <c r="I115" i="3"/>
  <c r="J114" i="3"/>
  <c r="K114" i="3" s="1"/>
  <c r="I114" i="3"/>
  <c r="J109" i="3"/>
  <c r="K109" i="3" s="1"/>
  <c r="I109" i="3"/>
  <c r="J108" i="3"/>
  <c r="K108" i="3" s="1"/>
  <c r="I108" i="3"/>
  <c r="J107" i="3"/>
  <c r="K107" i="3" s="1"/>
  <c r="I107" i="3"/>
  <c r="J100" i="3"/>
  <c r="K100" i="3" s="1"/>
  <c r="I100" i="3"/>
  <c r="J99" i="3"/>
  <c r="K99" i="3" s="1"/>
  <c r="I99" i="3"/>
  <c r="J98" i="3"/>
  <c r="K98" i="3" s="1"/>
  <c r="I98" i="3"/>
  <c r="J95" i="3"/>
  <c r="K95" i="3" s="1"/>
  <c r="I95" i="3"/>
  <c r="J94" i="3"/>
  <c r="K94" i="3" s="1"/>
  <c r="I94" i="3"/>
  <c r="J93" i="3"/>
  <c r="K93" i="3" s="1"/>
  <c r="I93" i="3"/>
  <c r="J88" i="3"/>
  <c r="K88" i="3" s="1"/>
  <c r="I88" i="3"/>
  <c r="J87" i="3"/>
  <c r="K87" i="3" s="1"/>
  <c r="I87" i="3"/>
  <c r="J86" i="3"/>
  <c r="K86" i="3" s="1"/>
  <c r="I86" i="3"/>
  <c r="J83" i="3"/>
  <c r="K83" i="3" s="1"/>
  <c r="I83" i="3"/>
  <c r="J82" i="3"/>
  <c r="K82" i="3" s="1"/>
  <c r="I82" i="3"/>
  <c r="J81" i="3"/>
  <c r="K81" i="3" s="1"/>
  <c r="I81" i="3"/>
  <c r="K76" i="3"/>
  <c r="J76" i="3"/>
  <c r="I76" i="3"/>
  <c r="J75" i="3"/>
  <c r="K75" i="3" s="1"/>
  <c r="I75" i="3"/>
  <c r="J74" i="3"/>
  <c r="K74" i="3" s="1"/>
  <c r="I74" i="3"/>
  <c r="J71" i="3"/>
  <c r="K71" i="3" s="1"/>
  <c r="I71" i="3"/>
  <c r="J70" i="3"/>
  <c r="K70" i="3" s="1"/>
  <c r="I70" i="3"/>
  <c r="J69" i="3"/>
  <c r="K69" i="3" s="1"/>
  <c r="I69" i="3"/>
  <c r="K64" i="3"/>
  <c r="J64" i="3"/>
  <c r="I64" i="3"/>
  <c r="J63" i="3"/>
  <c r="K63" i="3" s="1"/>
  <c r="I63" i="3"/>
  <c r="J62" i="3"/>
  <c r="K62" i="3" s="1"/>
  <c r="I62" i="3"/>
  <c r="J59" i="3"/>
  <c r="K59" i="3" s="1"/>
  <c r="I59" i="3"/>
  <c r="J58" i="3"/>
  <c r="K58" i="3" s="1"/>
  <c r="I58" i="3"/>
  <c r="J57" i="3"/>
  <c r="K57" i="3" s="1"/>
  <c r="I57" i="3"/>
  <c r="J52" i="3"/>
  <c r="K52" i="3" s="1"/>
  <c r="I52" i="3"/>
  <c r="J51" i="3"/>
  <c r="K51" i="3" s="1"/>
  <c r="I51" i="3"/>
  <c r="J50" i="3"/>
  <c r="K50" i="3" s="1"/>
  <c r="I50" i="3"/>
  <c r="J47" i="3"/>
  <c r="K47" i="3" s="1"/>
  <c r="I47" i="3"/>
  <c r="J46" i="3"/>
  <c r="K46" i="3" s="1"/>
  <c r="I46" i="3"/>
  <c r="J45" i="3"/>
  <c r="K45" i="3" s="1"/>
  <c r="I45" i="3"/>
  <c r="J40" i="3"/>
  <c r="K40" i="3" s="1"/>
  <c r="I40" i="3"/>
  <c r="J39" i="3"/>
  <c r="K39" i="3" s="1"/>
  <c r="I39" i="3"/>
  <c r="J38" i="3"/>
  <c r="K38" i="3" s="1"/>
  <c r="I38" i="3"/>
  <c r="J35" i="3"/>
  <c r="K35" i="3" s="1"/>
  <c r="I35" i="3"/>
  <c r="J34" i="3"/>
  <c r="K34" i="3" s="1"/>
  <c r="I34" i="3"/>
  <c r="J33" i="3"/>
  <c r="K33" i="3" s="1"/>
  <c r="I33" i="3"/>
  <c r="J28" i="3"/>
  <c r="K28" i="3" s="1"/>
  <c r="I28" i="3"/>
  <c r="J27" i="3"/>
  <c r="K27" i="3" s="1"/>
  <c r="I27" i="3"/>
  <c r="J26" i="3"/>
  <c r="K26" i="3" s="1"/>
  <c r="I26" i="3"/>
  <c r="J23" i="3"/>
  <c r="K23" i="3" s="1"/>
  <c r="I23" i="3"/>
  <c r="J22" i="3"/>
  <c r="K22" i="3" s="1"/>
  <c r="I22" i="3"/>
  <c r="K21" i="3"/>
  <c r="J21" i="3"/>
  <c r="I21" i="3"/>
  <c r="J16" i="3"/>
  <c r="K16" i="3" s="1"/>
  <c r="I16" i="3"/>
  <c r="J15" i="3"/>
  <c r="K15" i="3" s="1"/>
  <c r="I15" i="3"/>
  <c r="J14" i="3"/>
  <c r="K14" i="3" s="1"/>
  <c r="I14" i="3"/>
  <c r="J11" i="3"/>
  <c r="K11" i="3" s="1"/>
  <c r="I11" i="3"/>
  <c r="J10" i="3"/>
  <c r="K10" i="3" s="1"/>
  <c r="I10" i="3"/>
  <c r="J9" i="3"/>
  <c r="K9" i="3" s="1"/>
  <c r="I9" i="3"/>
  <c r="J9" i="4"/>
  <c r="K9" i="4" s="1"/>
  <c r="J8" i="4"/>
  <c r="K8" i="4" s="1"/>
  <c r="J7" i="4"/>
  <c r="K7" i="4" s="1"/>
  <c r="J14" i="4"/>
  <c r="K14" i="4" s="1"/>
  <c r="J13" i="4"/>
  <c r="K13" i="4" s="1"/>
  <c r="K12" i="4"/>
  <c r="O8" i="4" s="1"/>
  <c r="J12" i="4"/>
  <c r="K21" i="4"/>
  <c r="K20" i="4"/>
  <c r="K19" i="4"/>
  <c r="K26" i="4"/>
  <c r="N9" i="4" s="1"/>
  <c r="I26" i="4"/>
  <c r="K25" i="4"/>
  <c r="I25" i="4"/>
  <c r="K24" i="4"/>
  <c r="O9" i="4" s="1"/>
  <c r="I24" i="4"/>
  <c r="K33" i="4"/>
  <c r="I33" i="4"/>
  <c r="K32" i="4"/>
  <c r="I32" i="4"/>
  <c r="K31" i="4"/>
  <c r="I31" i="4"/>
  <c r="K38" i="4"/>
  <c r="I38" i="4"/>
  <c r="K37" i="4"/>
  <c r="I37" i="4"/>
  <c r="I36" i="4"/>
  <c r="K45" i="4"/>
  <c r="I45" i="4"/>
  <c r="K44" i="4"/>
  <c r="I44" i="4"/>
  <c r="K43" i="4"/>
  <c r="I43" i="4"/>
  <c r="K50" i="4"/>
  <c r="I50" i="4"/>
  <c r="K49" i="4"/>
  <c r="I49" i="4"/>
  <c r="K48" i="4"/>
  <c r="O11" i="4" s="1"/>
  <c r="I48" i="4"/>
  <c r="K62" i="4"/>
  <c r="I62" i="4"/>
  <c r="K61" i="4"/>
  <c r="I61" i="4"/>
  <c r="K60" i="4"/>
  <c r="O12" i="4" s="1"/>
  <c r="I60" i="4"/>
  <c r="K57" i="4"/>
  <c r="I57" i="4"/>
  <c r="K56" i="4"/>
  <c r="I56" i="4"/>
  <c r="K55" i="4"/>
  <c r="I55" i="4"/>
  <c r="K86" i="4"/>
  <c r="I86" i="4"/>
  <c r="K85" i="4"/>
  <c r="I85" i="4"/>
  <c r="K84" i="4"/>
  <c r="I84" i="4"/>
  <c r="K168" i="4"/>
  <c r="I168" i="4"/>
  <c r="K167" i="4"/>
  <c r="I167" i="4"/>
  <c r="K166" i="4"/>
  <c r="I166" i="4"/>
  <c r="K163" i="4"/>
  <c r="I163" i="4"/>
  <c r="K162" i="4"/>
  <c r="I162" i="4"/>
  <c r="K161" i="4"/>
  <c r="I161" i="4"/>
  <c r="K156" i="4"/>
  <c r="O19" i="4" s="1"/>
  <c r="I156" i="4"/>
  <c r="K155" i="4"/>
  <c r="I155" i="4"/>
  <c r="K154" i="4"/>
  <c r="I154" i="4"/>
  <c r="K151" i="4"/>
  <c r="I151" i="4"/>
  <c r="K150" i="4"/>
  <c r="I150" i="4"/>
  <c r="K149" i="4"/>
  <c r="I149" i="4"/>
  <c r="K68" i="4"/>
  <c r="K69" i="4"/>
  <c r="K72" i="4"/>
  <c r="N13" i="4" s="1"/>
  <c r="K73" i="4"/>
  <c r="K74" i="4"/>
  <c r="K79" i="4"/>
  <c r="K80" i="4"/>
  <c r="K81" i="4"/>
  <c r="K91" i="4"/>
  <c r="K93" i="4"/>
  <c r="K96" i="4"/>
  <c r="O15" i="4" s="1"/>
  <c r="K97" i="4"/>
  <c r="K98" i="4"/>
  <c r="K105" i="4"/>
  <c r="K106" i="4"/>
  <c r="K107" i="4"/>
  <c r="K112" i="4"/>
  <c r="K113" i="4"/>
  <c r="K114" i="4"/>
  <c r="K120" i="4"/>
  <c r="K121" i="4"/>
  <c r="K126" i="4"/>
  <c r="O17" i="4" s="1"/>
  <c r="K127" i="4"/>
  <c r="K128" i="4"/>
  <c r="K133" i="4"/>
  <c r="K134" i="4"/>
  <c r="K135" i="4"/>
  <c r="K140" i="4"/>
  <c r="O18" i="4" s="1"/>
  <c r="K142" i="4"/>
  <c r="I142" i="4"/>
  <c r="I141" i="4"/>
  <c r="I140" i="4"/>
  <c r="I135" i="4"/>
  <c r="I134" i="4"/>
  <c r="I133" i="4"/>
  <c r="I128" i="4"/>
  <c r="I127" i="4"/>
  <c r="I126" i="4"/>
  <c r="I121" i="4"/>
  <c r="I120" i="4"/>
  <c r="I119" i="4"/>
  <c r="I114" i="4"/>
  <c r="I113" i="4"/>
  <c r="I112" i="4"/>
  <c r="I107" i="4"/>
  <c r="I106" i="4"/>
  <c r="I105" i="4"/>
  <c r="I98" i="4"/>
  <c r="I97" i="4"/>
  <c r="I96" i="4"/>
  <c r="I93" i="4"/>
  <c r="I92" i="4"/>
  <c r="I91" i="4"/>
  <c r="I81" i="4"/>
  <c r="I80" i="4"/>
  <c r="I79" i="4"/>
  <c r="I74" i="4"/>
  <c r="I73" i="4"/>
  <c r="I72" i="4"/>
  <c r="I69" i="4"/>
  <c r="I68" i="4"/>
  <c r="I67" i="4"/>
  <c r="R16" i="1"/>
  <c r="S16" i="1"/>
  <c r="R17" i="1"/>
  <c r="S17" i="1"/>
  <c r="R18" i="1"/>
  <c r="S18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11" i="2"/>
  <c r="S10" i="2"/>
  <c r="S9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R11" i="2"/>
  <c r="R10" i="2"/>
  <c r="R9" i="2"/>
  <c r="I144" i="1"/>
  <c r="I143" i="1"/>
  <c r="I142" i="1"/>
  <c r="I137" i="1"/>
  <c r="I136" i="1"/>
  <c r="I135" i="1"/>
  <c r="I130" i="1"/>
  <c r="I129" i="1"/>
  <c r="I128" i="1"/>
  <c r="I123" i="1"/>
  <c r="I122" i="1"/>
  <c r="I121" i="1"/>
  <c r="I116" i="1"/>
  <c r="I115" i="1"/>
  <c r="I114" i="1"/>
  <c r="I109" i="1"/>
  <c r="I108" i="1"/>
  <c r="I107" i="1"/>
  <c r="I100" i="1"/>
  <c r="I99" i="1"/>
  <c r="I98" i="1"/>
  <c r="I95" i="1"/>
  <c r="I94" i="1"/>
  <c r="I93" i="1"/>
  <c r="I88" i="1"/>
  <c r="I87" i="1"/>
  <c r="I86" i="1"/>
  <c r="I83" i="1"/>
  <c r="I82" i="1"/>
  <c r="I81" i="1"/>
  <c r="I76" i="1"/>
  <c r="I75" i="1"/>
  <c r="I74" i="1"/>
  <c r="I71" i="1"/>
  <c r="I70" i="1"/>
  <c r="I69" i="1"/>
  <c r="I64" i="1"/>
  <c r="I63" i="1"/>
  <c r="I62" i="1"/>
  <c r="I59" i="1"/>
  <c r="I58" i="1"/>
  <c r="I57" i="1"/>
  <c r="I52" i="1"/>
  <c r="I51" i="1"/>
  <c r="I50" i="1"/>
  <c r="I47" i="1"/>
  <c r="I46" i="1"/>
  <c r="I45" i="1"/>
  <c r="I40" i="1"/>
  <c r="I39" i="1"/>
  <c r="I38" i="1"/>
  <c r="I35" i="1"/>
  <c r="I34" i="1"/>
  <c r="I33" i="1"/>
  <c r="I28" i="1"/>
  <c r="I27" i="1"/>
  <c r="I26" i="1"/>
  <c r="I23" i="1"/>
  <c r="I22" i="1"/>
  <c r="I21" i="1"/>
  <c r="I16" i="1"/>
  <c r="I15" i="1"/>
  <c r="I14" i="1"/>
  <c r="I11" i="1"/>
  <c r="I10" i="1"/>
  <c r="I9" i="1"/>
  <c r="I142" i="2"/>
  <c r="I141" i="2"/>
  <c r="I140" i="2"/>
  <c r="I135" i="2"/>
  <c r="I134" i="2"/>
  <c r="I133" i="2"/>
  <c r="I128" i="2"/>
  <c r="I127" i="2"/>
  <c r="I126" i="2"/>
  <c r="I121" i="2"/>
  <c r="I120" i="2"/>
  <c r="I119" i="2"/>
  <c r="I114" i="2"/>
  <c r="I113" i="2"/>
  <c r="I112" i="2"/>
  <c r="I107" i="2"/>
  <c r="I106" i="2"/>
  <c r="I105" i="2"/>
  <c r="I98" i="2"/>
  <c r="I97" i="2"/>
  <c r="I96" i="2"/>
  <c r="I93" i="2"/>
  <c r="I92" i="2"/>
  <c r="I91" i="2"/>
  <c r="I86" i="2"/>
  <c r="I85" i="2"/>
  <c r="I84" i="2"/>
  <c r="I81" i="2"/>
  <c r="I80" i="2"/>
  <c r="I79" i="2"/>
  <c r="I74" i="2"/>
  <c r="I73" i="2"/>
  <c r="I72" i="2"/>
  <c r="I69" i="2"/>
  <c r="I68" i="2"/>
  <c r="I67" i="2"/>
  <c r="I62" i="2"/>
  <c r="I61" i="2"/>
  <c r="I60" i="2"/>
  <c r="I57" i="2"/>
  <c r="I56" i="2"/>
  <c r="I55" i="2"/>
  <c r="I50" i="2"/>
  <c r="I49" i="2"/>
  <c r="I48" i="2"/>
  <c r="I45" i="2"/>
  <c r="I44" i="2"/>
  <c r="I43" i="2"/>
  <c r="I38" i="2"/>
  <c r="I37" i="2"/>
  <c r="I36" i="2"/>
  <c r="I33" i="2"/>
  <c r="I32" i="2"/>
  <c r="I31" i="2"/>
  <c r="I26" i="2"/>
  <c r="I25" i="2"/>
  <c r="I24" i="2"/>
  <c r="I21" i="2"/>
  <c r="I20" i="2"/>
  <c r="I19" i="2"/>
  <c r="I14" i="2"/>
  <c r="I13" i="2"/>
  <c r="I12" i="2"/>
  <c r="I9" i="2"/>
  <c r="I8" i="2"/>
  <c r="I7" i="2"/>
  <c r="I128" i="6"/>
  <c r="I127" i="6"/>
  <c r="I126" i="6"/>
  <c r="I121" i="6"/>
  <c r="I120" i="6"/>
  <c r="I119" i="6"/>
  <c r="I114" i="6"/>
  <c r="I113" i="6"/>
  <c r="I112" i="6"/>
  <c r="I107" i="6"/>
  <c r="I106" i="6"/>
  <c r="I105" i="6"/>
  <c r="I98" i="6"/>
  <c r="I97" i="6"/>
  <c r="I96" i="6"/>
  <c r="I93" i="6"/>
  <c r="I92" i="6"/>
  <c r="I91" i="6"/>
  <c r="I86" i="6"/>
  <c r="I85" i="6"/>
  <c r="I84" i="6"/>
  <c r="I81" i="6"/>
  <c r="I80" i="6"/>
  <c r="I79" i="6"/>
  <c r="I74" i="6"/>
  <c r="I73" i="6"/>
  <c r="I72" i="6"/>
  <c r="I69" i="6"/>
  <c r="I68" i="6"/>
  <c r="I67" i="6"/>
  <c r="I62" i="6"/>
  <c r="I61" i="6"/>
  <c r="I60" i="6"/>
  <c r="I57" i="6"/>
  <c r="I56" i="6"/>
  <c r="I55" i="6"/>
  <c r="I50" i="6"/>
  <c r="I49" i="6"/>
  <c r="I48" i="6"/>
  <c r="I45" i="6"/>
  <c r="I44" i="6"/>
  <c r="I43" i="6"/>
  <c r="I38" i="6"/>
  <c r="I37" i="6"/>
  <c r="I36" i="6"/>
  <c r="I33" i="6"/>
  <c r="I32" i="6"/>
  <c r="I31" i="6"/>
  <c r="I26" i="6"/>
  <c r="I25" i="6"/>
  <c r="I24" i="6"/>
  <c r="I21" i="6"/>
  <c r="I20" i="6"/>
  <c r="I19" i="6"/>
  <c r="I14" i="6"/>
  <c r="I13" i="6"/>
  <c r="I12" i="6"/>
  <c r="I9" i="6"/>
  <c r="I8" i="6"/>
  <c r="I7" i="6"/>
  <c r="I130" i="5"/>
  <c r="I129" i="5"/>
  <c r="I128" i="5"/>
  <c r="I123" i="5"/>
  <c r="I122" i="5"/>
  <c r="I121" i="5"/>
  <c r="I116" i="5"/>
  <c r="I115" i="5"/>
  <c r="I114" i="5"/>
  <c r="I109" i="5"/>
  <c r="I108" i="5"/>
  <c r="I107" i="5"/>
  <c r="I100" i="5"/>
  <c r="I99" i="5"/>
  <c r="I98" i="5"/>
  <c r="I95" i="5"/>
  <c r="I94" i="5"/>
  <c r="I93" i="5"/>
  <c r="I88" i="5"/>
  <c r="I87" i="5"/>
  <c r="I86" i="5"/>
  <c r="I83" i="5"/>
  <c r="I82" i="5"/>
  <c r="I81" i="5"/>
  <c r="I76" i="5"/>
  <c r="I75" i="5"/>
  <c r="I74" i="5"/>
  <c r="I71" i="5"/>
  <c r="I70" i="5"/>
  <c r="I69" i="5"/>
  <c r="I64" i="5"/>
  <c r="I63" i="5"/>
  <c r="I62" i="5"/>
  <c r="I59" i="5"/>
  <c r="I58" i="5"/>
  <c r="I57" i="5"/>
  <c r="I52" i="5"/>
  <c r="I51" i="5"/>
  <c r="I50" i="5"/>
  <c r="I47" i="5"/>
  <c r="I46" i="5"/>
  <c r="I45" i="5"/>
  <c r="I40" i="5"/>
  <c r="I39" i="5"/>
  <c r="I38" i="5"/>
  <c r="I35" i="5"/>
  <c r="I34" i="5"/>
  <c r="I33" i="5"/>
  <c r="I28" i="5"/>
  <c r="I27" i="5"/>
  <c r="I26" i="5"/>
  <c r="I23" i="5"/>
  <c r="I22" i="5"/>
  <c r="I21" i="5"/>
  <c r="I16" i="5"/>
  <c r="I15" i="5"/>
  <c r="I14" i="5"/>
  <c r="I11" i="5"/>
  <c r="I10" i="5"/>
  <c r="I9" i="5"/>
  <c r="J9" i="5"/>
  <c r="N20" i="6" l="1"/>
  <c r="N8" i="4"/>
  <c r="N17" i="4"/>
  <c r="N16" i="4"/>
  <c r="N15" i="4"/>
  <c r="N12" i="4"/>
  <c r="O13" i="4"/>
  <c r="N19" i="4"/>
  <c r="O14" i="4"/>
  <c r="O20" i="6"/>
  <c r="N19" i="6"/>
  <c r="O19" i="6"/>
  <c r="N19" i="5"/>
  <c r="N20" i="5"/>
  <c r="O16" i="4"/>
  <c r="N14" i="4"/>
  <c r="N11" i="4"/>
  <c r="N10" i="4"/>
  <c r="O10" i="4"/>
  <c r="J128" i="6"/>
  <c r="K128" i="6" s="1"/>
  <c r="J127" i="6"/>
  <c r="K127" i="6" s="1"/>
  <c r="J126" i="6"/>
  <c r="J121" i="6"/>
  <c r="J120" i="6"/>
  <c r="J119" i="6"/>
  <c r="J114" i="6"/>
  <c r="K114" i="6" s="1"/>
  <c r="J113" i="6"/>
  <c r="K113" i="6" s="1"/>
  <c r="J112" i="6"/>
  <c r="K112" i="6" s="1"/>
  <c r="J107" i="6"/>
  <c r="K107" i="6" s="1"/>
  <c r="J106" i="6"/>
  <c r="J105" i="6"/>
  <c r="J98" i="6"/>
  <c r="J97" i="6"/>
  <c r="K97" i="6" s="1"/>
  <c r="J96" i="6"/>
  <c r="K96" i="6" s="1"/>
  <c r="J93" i="6"/>
  <c r="K93" i="6" s="1"/>
  <c r="J92" i="6"/>
  <c r="K92" i="6" s="1"/>
  <c r="J91" i="6"/>
  <c r="J86" i="6"/>
  <c r="K86" i="6" s="1"/>
  <c r="J85" i="6"/>
  <c r="K85" i="6" s="1"/>
  <c r="J84" i="6"/>
  <c r="K84" i="6" s="1"/>
  <c r="J81" i="6"/>
  <c r="K81" i="6" s="1"/>
  <c r="J80" i="6"/>
  <c r="K80" i="6" s="1"/>
  <c r="J79" i="6"/>
  <c r="J74" i="6"/>
  <c r="K74" i="6" s="1"/>
  <c r="J73" i="6"/>
  <c r="K73" i="6" s="1"/>
  <c r="J72" i="6"/>
  <c r="J69" i="6"/>
  <c r="J68" i="6"/>
  <c r="J67" i="6"/>
  <c r="J62" i="6"/>
  <c r="K62" i="6" s="1"/>
  <c r="J61" i="6"/>
  <c r="K61" i="6" s="1"/>
  <c r="J60" i="6"/>
  <c r="K60" i="6" s="1"/>
  <c r="J57" i="6"/>
  <c r="K57" i="6" s="1"/>
  <c r="J56" i="6"/>
  <c r="K56" i="6" s="1"/>
  <c r="J55" i="6"/>
  <c r="K55" i="6" s="1"/>
  <c r="J50" i="6"/>
  <c r="K50" i="6" s="1"/>
  <c r="J49" i="6"/>
  <c r="K49" i="6" s="1"/>
  <c r="J48" i="6"/>
  <c r="K48" i="6" s="1"/>
  <c r="J45" i="6"/>
  <c r="K45" i="6" s="1"/>
  <c r="J44" i="6"/>
  <c r="K44" i="6" s="1"/>
  <c r="J43" i="6"/>
  <c r="K43" i="6" s="1"/>
  <c r="J38" i="6"/>
  <c r="J37" i="6"/>
  <c r="K37" i="6" s="1"/>
  <c r="J36" i="6"/>
  <c r="J33" i="6"/>
  <c r="K33" i="6" s="1"/>
  <c r="J32" i="6"/>
  <c r="K32" i="6" s="1"/>
  <c r="J31" i="6"/>
  <c r="J26" i="6"/>
  <c r="K26" i="6" s="1"/>
  <c r="J25" i="6"/>
  <c r="K25" i="6" s="1"/>
  <c r="J24" i="6"/>
  <c r="K24" i="6" s="1"/>
  <c r="J21" i="6"/>
  <c r="K21" i="6" s="1"/>
  <c r="J20" i="6"/>
  <c r="K20" i="6" s="1"/>
  <c r="J19" i="6"/>
  <c r="J14" i="6"/>
  <c r="K14" i="6" s="1"/>
  <c r="J13" i="6"/>
  <c r="K13" i="6" s="1"/>
  <c r="J12" i="6"/>
  <c r="K12" i="6" s="1"/>
  <c r="J9" i="6"/>
  <c r="K9" i="6" s="1"/>
  <c r="J8" i="6"/>
  <c r="K8" i="6" s="1"/>
  <c r="J7" i="6"/>
  <c r="J144" i="1"/>
  <c r="J143" i="1"/>
  <c r="J142" i="1"/>
  <c r="J137" i="1"/>
  <c r="K137" i="1" s="1"/>
  <c r="J136" i="1"/>
  <c r="K136" i="1" s="1"/>
  <c r="J135" i="1"/>
  <c r="J130" i="1"/>
  <c r="K130" i="1" s="1"/>
  <c r="J129" i="1"/>
  <c r="J128" i="1"/>
  <c r="J123" i="1"/>
  <c r="K123" i="1" s="1"/>
  <c r="J122" i="1"/>
  <c r="K122" i="1" s="1"/>
  <c r="J121" i="1"/>
  <c r="K121" i="1" s="1"/>
  <c r="N17" i="1" s="1"/>
  <c r="J116" i="1"/>
  <c r="K116" i="1" s="1"/>
  <c r="J115" i="1"/>
  <c r="J114" i="1"/>
  <c r="K114" i="1" s="1"/>
  <c r="J109" i="1"/>
  <c r="K109" i="1" s="1"/>
  <c r="J108" i="1"/>
  <c r="J107" i="1"/>
  <c r="J100" i="1"/>
  <c r="K100" i="1" s="1"/>
  <c r="J99" i="1"/>
  <c r="K99" i="1" s="1"/>
  <c r="J98" i="1"/>
  <c r="K98" i="1" s="1"/>
  <c r="J95" i="1"/>
  <c r="J94" i="1"/>
  <c r="J93" i="1"/>
  <c r="J88" i="1"/>
  <c r="J87" i="1"/>
  <c r="J86" i="1"/>
  <c r="K86" i="1" s="1"/>
  <c r="J83" i="1"/>
  <c r="K83" i="1" s="1"/>
  <c r="J82" i="1"/>
  <c r="K82" i="1" s="1"/>
  <c r="O14" i="1" s="1"/>
  <c r="J81" i="1"/>
  <c r="J76" i="1"/>
  <c r="K76" i="1" s="1"/>
  <c r="J75" i="1"/>
  <c r="K75" i="1" s="1"/>
  <c r="J74" i="1"/>
  <c r="J71" i="1"/>
  <c r="K71" i="1" s="1"/>
  <c r="J70" i="1"/>
  <c r="J69" i="1"/>
  <c r="J64" i="1"/>
  <c r="J63" i="1"/>
  <c r="J62" i="1"/>
  <c r="J59" i="1"/>
  <c r="J58" i="1"/>
  <c r="J57" i="1"/>
  <c r="J52" i="1"/>
  <c r="K52" i="1" s="1"/>
  <c r="J51" i="1"/>
  <c r="K51" i="1" s="1"/>
  <c r="J50" i="1"/>
  <c r="K50" i="1" s="1"/>
  <c r="J47" i="1"/>
  <c r="J46" i="1"/>
  <c r="K46" i="1" s="1"/>
  <c r="J45" i="1"/>
  <c r="K45" i="1" s="1"/>
  <c r="J40" i="1"/>
  <c r="J39" i="1"/>
  <c r="K39" i="1" s="1"/>
  <c r="J38" i="1"/>
  <c r="J35" i="1"/>
  <c r="J34" i="1"/>
  <c r="J33" i="1"/>
  <c r="J28" i="1"/>
  <c r="J27" i="1"/>
  <c r="J26" i="1"/>
  <c r="J23" i="1"/>
  <c r="K23" i="1" s="1"/>
  <c r="J22" i="1"/>
  <c r="K22" i="1" s="1"/>
  <c r="J21" i="1"/>
  <c r="K21" i="1" s="1"/>
  <c r="J16" i="1"/>
  <c r="K16" i="1" s="1"/>
  <c r="J15" i="1"/>
  <c r="J14" i="1"/>
  <c r="K14" i="1" s="1"/>
  <c r="J11" i="1"/>
  <c r="K11" i="1" s="1"/>
  <c r="J10" i="1"/>
  <c r="J9" i="1"/>
  <c r="K9" i="1" s="1"/>
  <c r="J142" i="2"/>
  <c r="J141" i="2"/>
  <c r="J140" i="2"/>
  <c r="K140" i="2" s="1"/>
  <c r="J135" i="2"/>
  <c r="J134" i="2"/>
  <c r="K134" i="2" s="1"/>
  <c r="J133" i="2"/>
  <c r="K133" i="2" s="1"/>
  <c r="J128" i="2"/>
  <c r="K128" i="2" s="1"/>
  <c r="J127" i="2"/>
  <c r="K127" i="2" s="1"/>
  <c r="J126" i="2"/>
  <c r="J121" i="2"/>
  <c r="J120" i="2"/>
  <c r="K120" i="2" s="1"/>
  <c r="J119" i="2"/>
  <c r="K119" i="2" s="1"/>
  <c r="J114" i="2"/>
  <c r="K114" i="2" s="1"/>
  <c r="J113" i="2"/>
  <c r="K113" i="2" s="1"/>
  <c r="J112" i="2"/>
  <c r="K112" i="2" s="1"/>
  <c r="J107" i="2"/>
  <c r="K107" i="2" s="1"/>
  <c r="J106" i="2"/>
  <c r="J105" i="2"/>
  <c r="J98" i="2"/>
  <c r="K98" i="2" s="1"/>
  <c r="J97" i="2"/>
  <c r="K97" i="2" s="1"/>
  <c r="J96" i="2"/>
  <c r="K96" i="2" s="1"/>
  <c r="J93" i="2"/>
  <c r="K93" i="2" s="1"/>
  <c r="J92" i="2"/>
  <c r="K92" i="2" s="1"/>
  <c r="J91" i="2"/>
  <c r="K91" i="2" s="1"/>
  <c r="J86" i="2"/>
  <c r="J85" i="2"/>
  <c r="J84" i="2"/>
  <c r="J81" i="2"/>
  <c r="J80" i="2"/>
  <c r="K80" i="2" s="1"/>
  <c r="J79" i="2"/>
  <c r="K79" i="2" s="1"/>
  <c r="J74" i="2"/>
  <c r="K74" i="2" s="1"/>
  <c r="J73" i="2"/>
  <c r="K73" i="2" s="1"/>
  <c r="J72" i="2"/>
  <c r="J69" i="2"/>
  <c r="J68" i="2"/>
  <c r="J67" i="2"/>
  <c r="J62" i="2"/>
  <c r="K62" i="2" s="1"/>
  <c r="J61" i="2"/>
  <c r="K61" i="2" s="1"/>
  <c r="J60" i="2"/>
  <c r="K60" i="2" s="1"/>
  <c r="J57" i="2"/>
  <c r="K57" i="2" s="1"/>
  <c r="J56" i="2"/>
  <c r="J55" i="2"/>
  <c r="J50" i="2"/>
  <c r="J49" i="2"/>
  <c r="J48" i="2"/>
  <c r="J45" i="2"/>
  <c r="K45" i="2" s="1"/>
  <c r="J44" i="2"/>
  <c r="K44" i="2" s="1"/>
  <c r="J43" i="2"/>
  <c r="K43" i="2" s="1"/>
  <c r="J38" i="2"/>
  <c r="J37" i="2"/>
  <c r="J36" i="2"/>
  <c r="J33" i="2"/>
  <c r="J32" i="2"/>
  <c r="J31" i="2"/>
  <c r="K31" i="2" s="1"/>
  <c r="J26" i="2"/>
  <c r="K26" i="2" s="1"/>
  <c r="J25" i="2"/>
  <c r="K25" i="2" s="1"/>
  <c r="J24" i="2"/>
  <c r="J21" i="2"/>
  <c r="J20" i="2"/>
  <c r="J19" i="2"/>
  <c r="J14" i="2"/>
  <c r="J13" i="2"/>
  <c r="K13" i="2" s="1"/>
  <c r="J12" i="2"/>
  <c r="K12" i="2" s="1"/>
  <c r="J9" i="2"/>
  <c r="K9" i="2" s="1"/>
  <c r="J8" i="2"/>
  <c r="J7" i="2"/>
  <c r="J130" i="5"/>
  <c r="J129" i="5"/>
  <c r="K129" i="5" s="1"/>
  <c r="J128" i="5"/>
  <c r="J123" i="5"/>
  <c r="J122" i="5"/>
  <c r="J121" i="5"/>
  <c r="K121" i="5" s="1"/>
  <c r="J116" i="5"/>
  <c r="K116" i="5" s="1"/>
  <c r="J115" i="5"/>
  <c r="K115" i="5" s="1"/>
  <c r="J114" i="5"/>
  <c r="K114" i="5" s="1"/>
  <c r="J109" i="5"/>
  <c r="J108" i="5"/>
  <c r="J107" i="5"/>
  <c r="K107" i="5" s="1"/>
  <c r="J100" i="5"/>
  <c r="K100" i="5" s="1"/>
  <c r="J99" i="5"/>
  <c r="K99" i="5" s="1"/>
  <c r="J98" i="5"/>
  <c r="K98" i="5" s="1"/>
  <c r="J95" i="5"/>
  <c r="J94" i="5"/>
  <c r="J93" i="5"/>
  <c r="K83" i="5"/>
  <c r="J82" i="5"/>
  <c r="J81" i="5"/>
  <c r="J71" i="5"/>
  <c r="K71" i="5" s="1"/>
  <c r="J70" i="5"/>
  <c r="J69" i="5"/>
  <c r="J59" i="5"/>
  <c r="K59" i="5" s="1"/>
  <c r="J58" i="5"/>
  <c r="J57" i="5"/>
  <c r="J47" i="5"/>
  <c r="K47" i="5" s="1"/>
  <c r="J46" i="5"/>
  <c r="J45" i="5"/>
  <c r="K45" i="5" s="1"/>
  <c r="J35" i="5"/>
  <c r="J34" i="5"/>
  <c r="J33" i="5"/>
  <c r="J23" i="5"/>
  <c r="K23" i="5" s="1"/>
  <c r="J22" i="5"/>
  <c r="J21" i="5"/>
  <c r="J10" i="5"/>
  <c r="J11" i="5"/>
  <c r="K11" i="5" s="1"/>
  <c r="K126" i="6"/>
  <c r="K121" i="6"/>
  <c r="K120" i="6"/>
  <c r="K119" i="6"/>
  <c r="K106" i="6"/>
  <c r="K98" i="6"/>
  <c r="K72" i="6"/>
  <c r="K69" i="6"/>
  <c r="K68" i="6"/>
  <c r="K38" i="6"/>
  <c r="K36" i="6"/>
  <c r="K130" i="5"/>
  <c r="K128" i="5"/>
  <c r="K123" i="5"/>
  <c r="K95" i="5"/>
  <c r="K94" i="5"/>
  <c r="K93" i="5"/>
  <c r="K82" i="5"/>
  <c r="K81" i="5"/>
  <c r="K70" i="5"/>
  <c r="K35" i="5"/>
  <c r="K34" i="5"/>
  <c r="K33" i="5"/>
  <c r="K22" i="5"/>
  <c r="K10" i="5"/>
  <c r="K9" i="5"/>
  <c r="K142" i="2"/>
  <c r="K141" i="2"/>
  <c r="K135" i="2"/>
  <c r="K126" i="2"/>
  <c r="K121" i="2"/>
  <c r="K106" i="2"/>
  <c r="K105" i="2"/>
  <c r="N17" i="2" s="1"/>
  <c r="K86" i="2"/>
  <c r="K85" i="2"/>
  <c r="K84" i="2"/>
  <c r="K81" i="2"/>
  <c r="K72" i="2"/>
  <c r="K69" i="2"/>
  <c r="K68" i="2"/>
  <c r="K67" i="2"/>
  <c r="N14" i="2" s="1"/>
  <c r="K56" i="2"/>
  <c r="K55" i="2"/>
  <c r="K50" i="2"/>
  <c r="K49" i="2"/>
  <c r="K48" i="2"/>
  <c r="K38" i="2"/>
  <c r="K37" i="2"/>
  <c r="K36" i="2"/>
  <c r="K33" i="2"/>
  <c r="K32" i="2"/>
  <c r="K24" i="2"/>
  <c r="K21" i="2"/>
  <c r="K20" i="2"/>
  <c r="K19" i="2"/>
  <c r="N10" i="2" s="1"/>
  <c r="K14" i="2"/>
  <c r="K8" i="2"/>
  <c r="K7" i="2"/>
  <c r="N9" i="2" s="1"/>
  <c r="K144" i="1"/>
  <c r="K143" i="1"/>
  <c r="K142" i="1"/>
  <c r="K135" i="1"/>
  <c r="K129" i="1"/>
  <c r="K128" i="1"/>
  <c r="K115" i="1"/>
  <c r="K108" i="1"/>
  <c r="K107" i="1"/>
  <c r="O16" i="1" s="1"/>
  <c r="K95" i="1"/>
  <c r="K94" i="1"/>
  <c r="K93" i="1"/>
  <c r="K88" i="1"/>
  <c r="K87" i="1"/>
  <c r="K81" i="1"/>
  <c r="K74" i="1"/>
  <c r="K70" i="1"/>
  <c r="K69" i="1"/>
  <c r="N13" i="1" s="1"/>
  <c r="K64" i="1"/>
  <c r="K63" i="1"/>
  <c r="K62" i="1"/>
  <c r="K59" i="1"/>
  <c r="K58" i="1"/>
  <c r="K57" i="1"/>
  <c r="N12" i="1" s="1"/>
  <c r="K47" i="1"/>
  <c r="K40" i="1"/>
  <c r="K38" i="1"/>
  <c r="K35" i="1"/>
  <c r="K34" i="1"/>
  <c r="K33" i="1"/>
  <c r="N10" i="1" s="1"/>
  <c r="K28" i="1"/>
  <c r="K27" i="1"/>
  <c r="K26" i="1"/>
  <c r="K15" i="1"/>
  <c r="K10" i="1"/>
  <c r="O18" i="6" l="1"/>
  <c r="N18" i="6"/>
  <c r="N12" i="6"/>
  <c r="O12" i="6"/>
  <c r="N10" i="6"/>
  <c r="O10" i="6"/>
  <c r="N15" i="6"/>
  <c r="O15" i="6"/>
  <c r="N16" i="6"/>
  <c r="O16" i="6"/>
  <c r="N14" i="6"/>
  <c r="O14" i="6"/>
  <c r="N11" i="6"/>
  <c r="O11" i="6"/>
  <c r="O13" i="6"/>
  <c r="N13" i="6"/>
  <c r="N9" i="6"/>
  <c r="O9" i="6"/>
  <c r="O17" i="6"/>
  <c r="N17" i="6"/>
  <c r="O17" i="5"/>
  <c r="N17" i="5"/>
  <c r="N18" i="5"/>
  <c r="O18" i="5"/>
  <c r="O16" i="5"/>
  <c r="N16" i="5"/>
  <c r="K58" i="5"/>
  <c r="K69" i="5"/>
  <c r="K108" i="5"/>
  <c r="K109" i="5"/>
  <c r="K122" i="5"/>
  <c r="K21" i="5"/>
  <c r="K46" i="5"/>
  <c r="K57" i="5"/>
  <c r="K79" i="6"/>
  <c r="K19" i="6"/>
  <c r="K31" i="6"/>
  <c r="K67" i="6"/>
  <c r="K91" i="6"/>
  <c r="K7" i="6"/>
  <c r="K105" i="6"/>
  <c r="N8" i="1"/>
  <c r="O8" i="1"/>
  <c r="N11" i="1"/>
  <c r="O11" i="1"/>
  <c r="N9" i="1"/>
  <c r="O9" i="1"/>
  <c r="N15" i="1"/>
  <c r="O10" i="1"/>
  <c r="O12" i="1"/>
  <c r="O13" i="1"/>
  <c r="O15" i="1"/>
  <c r="N14" i="1"/>
  <c r="O17" i="1"/>
  <c r="N18" i="1"/>
  <c r="O18" i="1"/>
  <c r="N16" i="1"/>
  <c r="N15" i="2"/>
  <c r="O15" i="2"/>
  <c r="O13" i="2"/>
  <c r="N16" i="2"/>
  <c r="O16" i="2"/>
  <c r="N11" i="2"/>
  <c r="O11" i="2"/>
  <c r="N19" i="2"/>
  <c r="O19" i="2"/>
  <c r="O12" i="2"/>
  <c r="N12" i="2"/>
  <c r="O9" i="2"/>
  <c r="O10" i="2"/>
  <c r="N18" i="2"/>
  <c r="O14" i="2"/>
  <c r="N13" i="2"/>
  <c r="O17" i="2"/>
  <c r="O18" i="2"/>
  <c r="K88" i="5"/>
  <c r="K87" i="5"/>
  <c r="K86" i="5"/>
  <c r="K76" i="5"/>
  <c r="K75" i="5"/>
  <c r="K74" i="5"/>
  <c r="K64" i="5"/>
  <c r="K63" i="5"/>
  <c r="K62" i="5"/>
  <c r="K52" i="5"/>
  <c r="K51" i="5"/>
  <c r="K50" i="5"/>
  <c r="K40" i="5"/>
  <c r="K39" i="5"/>
  <c r="K38" i="5"/>
  <c r="K28" i="5"/>
  <c r="K27" i="5"/>
  <c r="K26" i="5"/>
  <c r="K16" i="5"/>
  <c r="K15" i="5"/>
  <c r="K14" i="5"/>
  <c r="O9" i="5" l="1"/>
  <c r="N9" i="5"/>
  <c r="N10" i="5"/>
  <c r="O10" i="5"/>
  <c r="N11" i="5"/>
  <c r="O11" i="5"/>
  <c r="N12" i="5"/>
  <c r="O12" i="5"/>
  <c r="O13" i="5"/>
  <c r="N13" i="5"/>
  <c r="N14" i="5"/>
  <c r="O14" i="5"/>
  <c r="N15" i="5"/>
  <c r="O15" i="5"/>
</calcChain>
</file>

<file path=xl/sharedStrings.xml><?xml version="1.0" encoding="utf-8"?>
<sst xmlns="http://schemas.openxmlformats.org/spreadsheetml/2006/main" count="1543" uniqueCount="23">
  <si>
    <t>PlateName</t>
  </si>
  <si>
    <t>Row</t>
  </si>
  <si>
    <t xml:space="preserve">Column </t>
  </si>
  <si>
    <t xml:space="preserve"> Injection Time (sec)</t>
  </si>
  <si>
    <t>Plate2</t>
  </si>
  <si>
    <t>EM/MM0</t>
  </si>
  <si>
    <t>EM</t>
  </si>
  <si>
    <t>MM0</t>
  </si>
  <si>
    <t>Sequence 5</t>
  </si>
  <si>
    <t>Timepoint</t>
  </si>
  <si>
    <t>Sequence 2</t>
  </si>
  <si>
    <t>Plate1</t>
  </si>
  <si>
    <t>Sequence 3</t>
  </si>
  <si>
    <t>Turnover</t>
  </si>
  <si>
    <t>mg enzyme</t>
  </si>
  <si>
    <t>uM substrate</t>
  </si>
  <si>
    <t>Fraction</t>
  </si>
  <si>
    <t>Enzyme+Substrate</t>
  </si>
  <si>
    <t>Time</t>
  </si>
  <si>
    <t>STDEV</t>
  </si>
  <si>
    <t>% Oxidation</t>
  </si>
  <si>
    <t>Sequence 4</t>
  </si>
  <si>
    <t>o/n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</si>
</sst>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1" fillId="0" borderId="1" xfId="0" applyNumberFormat="1" applyFont="1" applyBorder="1"/>
    <xf numFmtId="11" fontId="0" fillId="0" borderId="0" xfId="0" applyNumberFormat="1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10" fontId="0" fillId="0" borderId="0" xfId="0" applyNumberForma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"/>
  <sheetViews>
    <sheetView topLeftCell="J1" workbookViewId="0">
      <selection activeCell="R8" sqref="R8:S18"/>
    </sheetView>
  </sheetViews>
  <sheetFormatPr defaultRowHeight="14.4" x14ac:dyDescent="0.3"/>
  <cols>
    <col min="10" max="10" width="8.88671875" style="6"/>
    <col min="14" max="14" width="9.33203125" bestFit="1" customWidth="1"/>
  </cols>
  <sheetData>
    <row r="1" spans="1:19" x14ac:dyDescent="0.3">
      <c r="A1" t="s">
        <v>10</v>
      </c>
    </row>
    <row r="2" spans="1:19" x14ac:dyDescent="0.3">
      <c r="A2" t="s">
        <v>0</v>
      </c>
      <c r="B2" t="s">
        <v>1</v>
      </c>
      <c r="C2" t="s">
        <v>2</v>
      </c>
      <c r="D2">
        <v>1442.73</v>
      </c>
      <c r="E2">
        <v>1474.73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 s="1">
        <v>2.6208062999999999E-3</v>
      </c>
    </row>
    <row r="3" spans="1:19" x14ac:dyDescent="0.3">
      <c r="A3" t="s">
        <v>11</v>
      </c>
      <c r="B3">
        <v>2001</v>
      </c>
      <c r="C3">
        <v>2</v>
      </c>
      <c r="D3">
        <v>0</v>
      </c>
      <c r="E3">
        <v>0</v>
      </c>
      <c r="F3">
        <v>7.28</v>
      </c>
      <c r="M3" t="s">
        <v>15</v>
      </c>
      <c r="N3" s="2">
        <v>8.9999999999999993E-3</v>
      </c>
    </row>
    <row r="4" spans="1:19" x14ac:dyDescent="0.3">
      <c r="A4" t="s">
        <v>11</v>
      </c>
      <c r="B4">
        <v>2001</v>
      </c>
      <c r="C4">
        <v>3</v>
      </c>
      <c r="D4">
        <v>0</v>
      </c>
      <c r="E4">
        <v>0</v>
      </c>
      <c r="F4">
        <v>21.43</v>
      </c>
    </row>
    <row r="5" spans="1:19" x14ac:dyDescent="0.3">
      <c r="A5" t="s">
        <v>11</v>
      </c>
      <c r="B5">
        <v>2001</v>
      </c>
      <c r="C5">
        <v>2</v>
      </c>
      <c r="D5">
        <v>0</v>
      </c>
      <c r="E5">
        <v>0</v>
      </c>
      <c r="F5">
        <v>35.869999999999997</v>
      </c>
    </row>
    <row r="6" spans="1:19" ht="15.6" x14ac:dyDescent="0.3">
      <c r="A6" t="s">
        <v>11</v>
      </c>
      <c r="B6">
        <v>2001</v>
      </c>
      <c r="C6">
        <v>3</v>
      </c>
      <c r="D6">
        <v>0</v>
      </c>
      <c r="E6">
        <v>0</v>
      </c>
      <c r="F6">
        <v>50.05</v>
      </c>
      <c r="M6" s="3"/>
      <c r="N6" s="4" t="s">
        <v>17</v>
      </c>
      <c r="O6" s="3"/>
      <c r="Q6" s="3"/>
      <c r="R6" s="4" t="s">
        <v>17</v>
      </c>
      <c r="S6" s="3"/>
    </row>
    <row r="7" spans="1:19" ht="15.6" x14ac:dyDescent="0.3">
      <c r="A7" t="s">
        <v>11</v>
      </c>
      <c r="B7">
        <v>2001</v>
      </c>
      <c r="C7">
        <v>2</v>
      </c>
      <c r="D7">
        <v>0</v>
      </c>
      <c r="E7">
        <v>0</v>
      </c>
      <c r="F7">
        <v>64.34</v>
      </c>
      <c r="M7" s="4" t="s">
        <v>18</v>
      </c>
      <c r="N7" s="4" t="s">
        <v>13</v>
      </c>
      <c r="O7" s="3" t="s">
        <v>19</v>
      </c>
      <c r="Q7" s="4" t="s">
        <v>18</v>
      </c>
      <c r="R7" s="4" t="s">
        <v>20</v>
      </c>
      <c r="S7" s="3" t="s">
        <v>19</v>
      </c>
    </row>
    <row r="8" spans="1:19" ht="15.6" x14ac:dyDescent="0.3">
      <c r="A8" t="s">
        <v>11</v>
      </c>
      <c r="B8">
        <v>2001</v>
      </c>
      <c r="C8">
        <v>3</v>
      </c>
      <c r="D8">
        <v>0</v>
      </c>
      <c r="E8">
        <v>0</v>
      </c>
      <c r="F8">
        <v>78.53</v>
      </c>
      <c r="M8" s="3">
        <v>0</v>
      </c>
      <c r="N8" s="5">
        <f>AVERAGE(K9:K11)</f>
        <v>0</v>
      </c>
      <c r="O8" s="3">
        <f>STDEV(K9:K11)</f>
        <v>0</v>
      </c>
      <c r="Q8" s="3">
        <v>0</v>
      </c>
      <c r="R8" s="7">
        <f>AVERAGE(J8:J10)</f>
        <v>0</v>
      </c>
      <c r="S8" s="3">
        <f>STDEV(J9:J11)</f>
        <v>0</v>
      </c>
    </row>
    <row r="9" spans="1:19" ht="15.6" x14ac:dyDescent="0.3">
      <c r="A9" t="s">
        <v>11</v>
      </c>
      <c r="B9">
        <v>16</v>
      </c>
      <c r="C9">
        <v>1</v>
      </c>
      <c r="D9">
        <v>14193985.310546899</v>
      </c>
      <c r="E9">
        <v>0</v>
      </c>
      <c r="F9">
        <v>93.46</v>
      </c>
      <c r="G9" t="s">
        <v>6</v>
      </c>
      <c r="H9">
        <v>0</v>
      </c>
      <c r="I9">
        <f t="shared" ref="I9:J11" si="0">D9/(C9+D9)</f>
        <v>0.99999992954762829</v>
      </c>
      <c r="J9" s="6">
        <f t="shared" si="0"/>
        <v>0</v>
      </c>
      <c r="K9" s="2">
        <f>(J9*$N$3)/$N$2</f>
        <v>0</v>
      </c>
      <c r="M9" s="3">
        <v>0.5</v>
      </c>
      <c r="N9" s="5">
        <f>AVERAGE(K21:K23)</f>
        <v>0</v>
      </c>
      <c r="O9" s="3">
        <f>STDEV(K21:K23)</f>
        <v>0</v>
      </c>
      <c r="Q9" s="3">
        <v>0.5</v>
      </c>
      <c r="R9" s="7">
        <f>AVERAGE(J20:J22)</f>
        <v>0</v>
      </c>
      <c r="S9" s="3">
        <f>STDEV(J21:J23)</f>
        <v>0</v>
      </c>
    </row>
    <row r="10" spans="1:19" ht="15.6" x14ac:dyDescent="0.3">
      <c r="A10" t="s">
        <v>11</v>
      </c>
      <c r="B10">
        <v>16</v>
      </c>
      <c r="C10">
        <v>3</v>
      </c>
      <c r="D10">
        <v>14463137.982910199</v>
      </c>
      <c r="E10">
        <v>0</v>
      </c>
      <c r="F10">
        <v>108.32</v>
      </c>
      <c r="G10" t="s">
        <v>6</v>
      </c>
      <c r="H10">
        <v>0</v>
      </c>
      <c r="I10">
        <f t="shared" si="0"/>
        <v>0.99999979257617666</v>
      </c>
      <c r="J10" s="6">
        <f t="shared" si="0"/>
        <v>0</v>
      </c>
      <c r="K10" s="2">
        <f>(J10*$N$3)/$N$2</f>
        <v>0</v>
      </c>
      <c r="M10" s="3">
        <v>1</v>
      </c>
      <c r="N10" s="5">
        <f>AVERAGE(K33:K35)</f>
        <v>0</v>
      </c>
      <c r="O10" s="3">
        <f>STDEV(K33:K35)</f>
        <v>0</v>
      </c>
      <c r="Q10" s="3">
        <v>1</v>
      </c>
      <c r="R10" s="7">
        <f>AVERAGE(J32:J34)</f>
        <v>0</v>
      </c>
      <c r="S10" s="3">
        <f>STDEV(J33:J35)</f>
        <v>0</v>
      </c>
    </row>
    <row r="11" spans="1:19" ht="15.6" x14ac:dyDescent="0.3">
      <c r="A11" t="s">
        <v>11</v>
      </c>
      <c r="B11">
        <v>16</v>
      </c>
      <c r="C11">
        <v>5</v>
      </c>
      <c r="D11">
        <v>14518197.379882799</v>
      </c>
      <c r="E11">
        <v>0</v>
      </c>
      <c r="F11">
        <v>123.28</v>
      </c>
      <c r="G11" t="s">
        <v>6</v>
      </c>
      <c r="H11">
        <v>0</v>
      </c>
      <c r="I11">
        <f t="shared" si="0"/>
        <v>0.9999996556047458</v>
      </c>
      <c r="J11" s="6">
        <f t="shared" si="0"/>
        <v>0</v>
      </c>
      <c r="K11" s="2">
        <f>(J11*$N$3)/$N$2</f>
        <v>0</v>
      </c>
      <c r="M11" s="3">
        <v>1.5</v>
      </c>
      <c r="N11" s="5">
        <f>AVERAGE(K45:K47)</f>
        <v>0</v>
      </c>
      <c r="O11" s="3">
        <f>STDEV(K45:K47)</f>
        <v>0</v>
      </c>
      <c r="Q11" s="3">
        <v>1.5</v>
      </c>
      <c r="R11" s="7">
        <f>AVERAGE(J45:J47)</f>
        <v>0</v>
      </c>
      <c r="S11" s="3">
        <f>STDEV(J45:J47)</f>
        <v>0</v>
      </c>
    </row>
    <row r="12" spans="1:19" ht="15.6" x14ac:dyDescent="0.3">
      <c r="A12" t="s">
        <v>11</v>
      </c>
      <c r="B12">
        <v>2001</v>
      </c>
      <c r="C12">
        <v>2</v>
      </c>
      <c r="D12">
        <v>5316.4111328125</v>
      </c>
      <c r="E12">
        <v>0</v>
      </c>
      <c r="F12">
        <v>137.69999999999999</v>
      </c>
      <c r="M12" s="3">
        <v>3</v>
      </c>
      <c r="N12" s="5">
        <f>AVERAGE(K57:K59)</f>
        <v>0</v>
      </c>
      <c r="O12" s="3">
        <f>STDEV(K57:K59)</f>
        <v>0</v>
      </c>
      <c r="Q12" s="3">
        <v>3</v>
      </c>
      <c r="R12" s="7">
        <f>AVERAGE(J56:J58)</f>
        <v>0</v>
      </c>
      <c r="S12" s="3">
        <f>STDEV(J57:J59)</f>
        <v>0</v>
      </c>
    </row>
    <row r="13" spans="1:19" ht="15.6" x14ac:dyDescent="0.3">
      <c r="A13" t="s">
        <v>11</v>
      </c>
      <c r="B13">
        <v>2001</v>
      </c>
      <c r="C13">
        <v>3</v>
      </c>
      <c r="D13">
        <v>0</v>
      </c>
      <c r="E13">
        <v>0</v>
      </c>
      <c r="F13">
        <v>151.88999999999999</v>
      </c>
      <c r="M13" s="3">
        <v>5</v>
      </c>
      <c r="N13" s="5">
        <f>AVERAGE(K69:K71)</f>
        <v>0</v>
      </c>
      <c r="O13" s="3">
        <f>STDEV(K69:K71)</f>
        <v>0</v>
      </c>
      <c r="Q13" s="3">
        <v>5</v>
      </c>
      <c r="R13" s="7">
        <f>AVERAGE(J68:J70)</f>
        <v>0</v>
      </c>
      <c r="S13" s="3">
        <f>STDEV(J69:J71)</f>
        <v>0</v>
      </c>
    </row>
    <row r="14" spans="1:19" ht="15.6" x14ac:dyDescent="0.3">
      <c r="A14" t="s">
        <v>11</v>
      </c>
      <c r="B14">
        <v>16</v>
      </c>
      <c r="C14">
        <v>7</v>
      </c>
      <c r="D14">
        <v>18200829.808105499</v>
      </c>
      <c r="E14">
        <v>0</v>
      </c>
      <c r="F14">
        <v>166.75</v>
      </c>
      <c r="G14" t="s">
        <v>7</v>
      </c>
      <c r="H14">
        <v>0</v>
      </c>
      <c r="I14">
        <f t="shared" ref="I14:J16" si="1">D14/(C14+D14)</f>
        <v>0.99999961540229865</v>
      </c>
      <c r="J14" s="6">
        <f t="shared" si="1"/>
        <v>0</v>
      </c>
      <c r="K14" s="2">
        <f>(J14*$N$3)/$N$2</f>
        <v>0</v>
      </c>
      <c r="M14" s="3">
        <v>10</v>
      </c>
      <c r="N14" s="5">
        <f>AVERAGE(K81:K83)</f>
        <v>0</v>
      </c>
      <c r="O14" s="3">
        <f>STDEV(K81:K83)</f>
        <v>0</v>
      </c>
      <c r="Q14" s="3">
        <v>10</v>
      </c>
      <c r="R14" s="7">
        <f>AVERAGE(J80:J82)</f>
        <v>0</v>
      </c>
      <c r="S14" s="3">
        <f>STDEV(J81:J83)</f>
        <v>0</v>
      </c>
    </row>
    <row r="15" spans="1:19" ht="15.6" x14ac:dyDescent="0.3">
      <c r="A15" t="s">
        <v>11</v>
      </c>
      <c r="B15">
        <v>16</v>
      </c>
      <c r="C15">
        <v>9</v>
      </c>
      <c r="D15">
        <v>16146250.0737305</v>
      </c>
      <c r="E15">
        <v>0</v>
      </c>
      <c r="F15">
        <v>181.72</v>
      </c>
      <c r="G15" t="s">
        <v>7</v>
      </c>
      <c r="H15">
        <v>0</v>
      </c>
      <c r="I15">
        <f t="shared" si="1"/>
        <v>0.99999944259534301</v>
      </c>
      <c r="J15" s="6">
        <f t="shared" si="1"/>
        <v>0</v>
      </c>
      <c r="K15" s="2">
        <f>(J15*$N$3)/$N$2</f>
        <v>0</v>
      </c>
      <c r="M15" s="3">
        <v>20</v>
      </c>
      <c r="N15" s="5">
        <f>AVERAGE(K93:K95)</f>
        <v>1.2797819099254632E-2</v>
      </c>
      <c r="O15" s="3">
        <f>STDEV(K93:K95)</f>
        <v>1.168344294615261E-3</v>
      </c>
      <c r="Q15" s="3">
        <v>20</v>
      </c>
      <c r="R15" s="7">
        <f>AVERAGE(J93:J95)</f>
        <v>3.7267338801763189E-3</v>
      </c>
      <c r="S15" s="3">
        <f>STDEV(J93:J95)</f>
        <v>3.4022267643297034E-4</v>
      </c>
    </row>
    <row r="16" spans="1:19" ht="15.6" x14ac:dyDescent="0.3">
      <c r="A16" t="s">
        <v>11</v>
      </c>
      <c r="B16">
        <v>16</v>
      </c>
      <c r="C16">
        <v>11</v>
      </c>
      <c r="D16">
        <v>17024967.28125</v>
      </c>
      <c r="E16">
        <v>0</v>
      </c>
      <c r="F16">
        <v>196.55</v>
      </c>
      <c r="G16" t="s">
        <v>7</v>
      </c>
      <c r="H16">
        <v>0</v>
      </c>
      <c r="I16">
        <f t="shared" si="1"/>
        <v>0.99999935389051198</v>
      </c>
      <c r="J16" s="6">
        <f t="shared" si="1"/>
        <v>0</v>
      </c>
      <c r="K16" s="2">
        <f>(J16*$N$3)/$N$2</f>
        <v>0</v>
      </c>
      <c r="M16" s="3">
        <v>40</v>
      </c>
      <c r="N16" s="5" t="e">
        <f>AVERAGE(K107:K109)</f>
        <v>#DIV/0!</v>
      </c>
      <c r="O16" t="e">
        <f>STDEV(K107:K109)</f>
        <v>#DIV/0!</v>
      </c>
      <c r="Q16" s="3">
        <v>40</v>
      </c>
      <c r="R16" s="7" t="e">
        <f>AVERAGE(J107:J109)</f>
        <v>#DIV/0!</v>
      </c>
      <c r="S16" t="e">
        <f>STDEV(J107:J109)</f>
        <v>#DIV/0!</v>
      </c>
    </row>
    <row r="17" spans="1:19" ht="15.6" x14ac:dyDescent="0.3">
      <c r="A17" t="s">
        <v>11</v>
      </c>
      <c r="B17">
        <v>2001</v>
      </c>
      <c r="C17">
        <v>2</v>
      </c>
      <c r="D17">
        <v>11624.037109375</v>
      </c>
      <c r="E17">
        <v>0</v>
      </c>
      <c r="F17">
        <v>211.01</v>
      </c>
      <c r="M17" s="3">
        <v>60</v>
      </c>
      <c r="N17" s="5">
        <f>AVERAGE(K121:K123)</f>
        <v>5.4520883881445263E-2</v>
      </c>
      <c r="O17">
        <f>STDEV(K121:K123)</f>
        <v>1.4589053941933664E-2</v>
      </c>
      <c r="Q17" s="3">
        <v>60</v>
      </c>
      <c r="R17" s="7">
        <f>AVERAGE(J121:J123)</f>
        <v>1.5876519550895581E-2</v>
      </c>
      <c r="S17">
        <f>STDEV(J121:J123)</f>
        <v>4.2483427202288449E-3</v>
      </c>
    </row>
    <row r="18" spans="1:19" ht="15.6" x14ac:dyDescent="0.3">
      <c r="A18" t="s">
        <v>11</v>
      </c>
      <c r="B18">
        <v>2001</v>
      </c>
      <c r="C18">
        <v>3</v>
      </c>
      <c r="D18">
        <v>0</v>
      </c>
      <c r="E18">
        <v>0</v>
      </c>
      <c r="F18">
        <v>225.3</v>
      </c>
      <c r="M18" s="3">
        <v>300</v>
      </c>
      <c r="N18" s="5" t="e">
        <f>AVERAGE(K135:K137)</f>
        <v>#DIV/0!</v>
      </c>
      <c r="O18" t="e">
        <f>STDEV(K135:K137)</f>
        <v>#DIV/0!</v>
      </c>
      <c r="Q18" s="3">
        <v>300</v>
      </c>
      <c r="R18" s="7" t="e">
        <f>AVERAGE(J135:J137)</f>
        <v>#DIV/0!</v>
      </c>
      <c r="S18" t="e">
        <f>STDEV(J135:J137)</f>
        <v>#DIV/0!</v>
      </c>
    </row>
    <row r="19" spans="1:19" x14ac:dyDescent="0.3">
      <c r="A19" t="s">
        <v>11</v>
      </c>
      <c r="B19">
        <v>2001</v>
      </c>
      <c r="C19">
        <v>2</v>
      </c>
      <c r="D19">
        <v>0</v>
      </c>
      <c r="E19">
        <v>0</v>
      </c>
      <c r="F19">
        <v>239.61</v>
      </c>
    </row>
    <row r="20" spans="1:19" x14ac:dyDescent="0.3">
      <c r="A20" t="s">
        <v>11</v>
      </c>
      <c r="B20">
        <v>2001</v>
      </c>
      <c r="C20">
        <v>3</v>
      </c>
      <c r="D20">
        <v>0</v>
      </c>
      <c r="E20">
        <v>0</v>
      </c>
      <c r="F20">
        <v>253.76</v>
      </c>
    </row>
    <row r="21" spans="1:19" x14ac:dyDescent="0.3">
      <c r="A21" t="s">
        <v>11</v>
      </c>
      <c r="B21">
        <v>15</v>
      </c>
      <c r="C21">
        <v>1</v>
      </c>
      <c r="D21">
        <v>10367644.576171899</v>
      </c>
      <c r="E21">
        <v>0</v>
      </c>
      <c r="F21">
        <v>268.73</v>
      </c>
      <c r="G21" t="s">
        <v>6</v>
      </c>
      <c r="H21">
        <v>0.5</v>
      </c>
      <c r="I21">
        <f t="shared" ref="I21:J23" si="2">D21/(C21+D21)</f>
        <v>0.99999990354608548</v>
      </c>
      <c r="J21" s="6">
        <f t="shared" si="2"/>
        <v>0</v>
      </c>
      <c r="K21" s="2">
        <f>(J21*$N$3)/$N$2</f>
        <v>0</v>
      </c>
    </row>
    <row r="22" spans="1:19" x14ac:dyDescent="0.3">
      <c r="A22" t="s">
        <v>11</v>
      </c>
      <c r="B22">
        <v>15</v>
      </c>
      <c r="C22">
        <v>3</v>
      </c>
      <c r="D22">
        <v>8287230.37109375</v>
      </c>
      <c r="E22">
        <v>0</v>
      </c>
      <c r="F22">
        <v>283.61</v>
      </c>
      <c r="G22" t="s">
        <v>6</v>
      </c>
      <c r="H22">
        <v>0.5</v>
      </c>
      <c r="I22">
        <f t="shared" si="2"/>
        <v>0.99999963799740332</v>
      </c>
      <c r="J22" s="6">
        <f t="shared" si="2"/>
        <v>0</v>
      </c>
      <c r="K22" s="2">
        <f>(J22*$N$3)/$N$2</f>
        <v>0</v>
      </c>
    </row>
    <row r="23" spans="1:19" x14ac:dyDescent="0.3">
      <c r="A23" t="s">
        <v>11</v>
      </c>
      <c r="B23">
        <v>15</v>
      </c>
      <c r="C23">
        <v>5</v>
      </c>
      <c r="D23">
        <v>8993250.2802734394</v>
      </c>
      <c r="E23">
        <v>0</v>
      </c>
      <c r="F23">
        <v>298.56</v>
      </c>
      <c r="G23" t="s">
        <v>6</v>
      </c>
      <c r="H23">
        <v>0.5</v>
      </c>
      <c r="I23">
        <f t="shared" si="2"/>
        <v>0.99999944402779151</v>
      </c>
      <c r="J23" s="6">
        <f t="shared" si="2"/>
        <v>0</v>
      </c>
      <c r="K23" s="2">
        <f>(J23*$N$3)/$N$2</f>
        <v>0</v>
      </c>
    </row>
    <row r="24" spans="1:19" x14ac:dyDescent="0.3">
      <c r="A24" t="s">
        <v>11</v>
      </c>
      <c r="B24">
        <v>2001</v>
      </c>
      <c r="C24">
        <v>2</v>
      </c>
      <c r="D24">
        <v>0</v>
      </c>
      <c r="E24">
        <v>0</v>
      </c>
      <c r="F24">
        <v>313.02999999999997</v>
      </c>
    </row>
    <row r="25" spans="1:19" x14ac:dyDescent="0.3">
      <c r="A25" t="s">
        <v>11</v>
      </c>
      <c r="B25">
        <v>2001</v>
      </c>
      <c r="C25">
        <v>3</v>
      </c>
      <c r="D25">
        <v>0</v>
      </c>
      <c r="E25">
        <v>0</v>
      </c>
      <c r="F25">
        <v>327.22000000000003</v>
      </c>
    </row>
    <row r="26" spans="1:19" x14ac:dyDescent="0.3">
      <c r="A26" t="s">
        <v>11</v>
      </c>
      <c r="B26">
        <v>15</v>
      </c>
      <c r="C26">
        <v>7</v>
      </c>
      <c r="D26">
        <v>13324440.4179688</v>
      </c>
      <c r="E26">
        <v>0</v>
      </c>
      <c r="F26">
        <v>342.04</v>
      </c>
      <c r="G26" t="s">
        <v>7</v>
      </c>
      <c r="H26">
        <v>0.5</v>
      </c>
      <c r="I26">
        <f t="shared" ref="I26:J28" si="3">D26/(C26+D26)</f>
        <v>0.9999994746498837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11</v>
      </c>
      <c r="B27">
        <v>15</v>
      </c>
      <c r="C27">
        <v>9</v>
      </c>
      <c r="D27">
        <v>12310514.111328101</v>
      </c>
      <c r="E27">
        <v>0</v>
      </c>
      <c r="F27">
        <v>357.02</v>
      </c>
      <c r="G27" t="s">
        <v>7</v>
      </c>
      <c r="H27">
        <v>0.5</v>
      </c>
      <c r="I27">
        <f t="shared" si="3"/>
        <v>0.99999926891815083</v>
      </c>
      <c r="J27" s="6">
        <f t="shared" si="3"/>
        <v>0</v>
      </c>
      <c r="K27" s="2">
        <f>(J27*$N$3)/$N$2</f>
        <v>0</v>
      </c>
    </row>
    <row r="28" spans="1:19" x14ac:dyDescent="0.3">
      <c r="A28" t="s">
        <v>11</v>
      </c>
      <c r="B28">
        <v>15</v>
      </c>
      <c r="C28">
        <v>11</v>
      </c>
      <c r="D28">
        <v>13076423.6337891</v>
      </c>
      <c r="E28">
        <v>0</v>
      </c>
      <c r="F28">
        <v>371.84</v>
      </c>
      <c r="G28" t="s">
        <v>7</v>
      </c>
      <c r="H28">
        <v>0.5</v>
      </c>
      <c r="I28">
        <f t="shared" si="3"/>
        <v>0.99999915879210899</v>
      </c>
      <c r="J28" s="6">
        <f t="shared" si="3"/>
        <v>0</v>
      </c>
      <c r="K28" s="2">
        <f>(J28*$N$3)/$N$2</f>
        <v>0</v>
      </c>
    </row>
    <row r="29" spans="1:19" x14ac:dyDescent="0.3">
      <c r="A29" t="s">
        <v>11</v>
      </c>
      <c r="B29">
        <v>2001</v>
      </c>
      <c r="C29">
        <v>2</v>
      </c>
      <c r="D29">
        <v>0</v>
      </c>
      <c r="E29">
        <v>0</v>
      </c>
      <c r="F29">
        <v>386.27</v>
      </c>
    </row>
    <row r="30" spans="1:19" x14ac:dyDescent="0.3">
      <c r="A30" t="s">
        <v>11</v>
      </c>
      <c r="B30">
        <v>2001</v>
      </c>
      <c r="C30">
        <v>3</v>
      </c>
      <c r="D30">
        <v>0</v>
      </c>
      <c r="E30">
        <v>0</v>
      </c>
      <c r="F30">
        <v>400.44</v>
      </c>
    </row>
    <row r="31" spans="1:19" x14ac:dyDescent="0.3">
      <c r="A31" t="s">
        <v>11</v>
      </c>
      <c r="B31">
        <v>2001</v>
      </c>
      <c r="C31">
        <v>2</v>
      </c>
      <c r="D31">
        <v>0</v>
      </c>
      <c r="E31">
        <v>0</v>
      </c>
      <c r="F31">
        <v>414.88</v>
      </c>
    </row>
    <row r="32" spans="1:19" x14ac:dyDescent="0.3">
      <c r="A32" t="s">
        <v>11</v>
      </c>
      <c r="B32">
        <v>2001</v>
      </c>
      <c r="C32">
        <v>3</v>
      </c>
      <c r="D32">
        <v>0</v>
      </c>
      <c r="E32">
        <v>0</v>
      </c>
      <c r="F32">
        <v>429.09</v>
      </c>
    </row>
    <row r="33" spans="1:11" x14ac:dyDescent="0.3">
      <c r="A33" t="s">
        <v>11</v>
      </c>
      <c r="B33">
        <v>14</v>
      </c>
      <c r="C33">
        <v>1</v>
      </c>
      <c r="D33">
        <v>10051361.0947266</v>
      </c>
      <c r="E33">
        <v>0</v>
      </c>
      <c r="F33">
        <v>444.06</v>
      </c>
      <c r="G33" t="s">
        <v>6</v>
      </c>
      <c r="H33">
        <v>1</v>
      </c>
      <c r="I33">
        <f t="shared" ref="I33:J35" si="4">D33/(C33+D33)</f>
        <v>0.99999990051099641</v>
      </c>
      <c r="J33" s="6">
        <f t="shared" si="4"/>
        <v>0</v>
      </c>
      <c r="K33" s="2">
        <f>(J33*$N$3)/$N$2</f>
        <v>0</v>
      </c>
    </row>
    <row r="34" spans="1:11" x14ac:dyDescent="0.3">
      <c r="A34" t="s">
        <v>11</v>
      </c>
      <c r="B34">
        <v>14</v>
      </c>
      <c r="C34">
        <v>3</v>
      </c>
      <c r="D34">
        <v>10574248.7382813</v>
      </c>
      <c r="E34">
        <v>0</v>
      </c>
      <c r="F34">
        <v>458.93</v>
      </c>
      <c r="G34" t="s">
        <v>6</v>
      </c>
      <c r="H34">
        <v>1</v>
      </c>
      <c r="I34">
        <f t="shared" si="4"/>
        <v>0.99999971629198225</v>
      </c>
      <c r="J34" s="6">
        <f t="shared" si="4"/>
        <v>0</v>
      </c>
      <c r="K34" s="2">
        <f>(J34*$N$3)/$N$2</f>
        <v>0</v>
      </c>
    </row>
    <row r="35" spans="1:11" x14ac:dyDescent="0.3">
      <c r="A35" t="s">
        <v>11</v>
      </c>
      <c r="B35">
        <v>14</v>
      </c>
      <c r="C35">
        <v>5</v>
      </c>
      <c r="D35">
        <v>10881566.7509766</v>
      </c>
      <c r="E35">
        <v>0</v>
      </c>
      <c r="F35">
        <v>473.78</v>
      </c>
      <c r="G35" t="s">
        <v>6</v>
      </c>
      <c r="H35">
        <v>1</v>
      </c>
      <c r="I35">
        <f t="shared" si="4"/>
        <v>0.99999954050755591</v>
      </c>
      <c r="J35" s="6">
        <f t="shared" si="4"/>
        <v>0</v>
      </c>
      <c r="K35" s="2">
        <f>(J35*$N$3)/$N$2</f>
        <v>0</v>
      </c>
    </row>
    <row r="36" spans="1:11" x14ac:dyDescent="0.3">
      <c r="A36" t="s">
        <v>11</v>
      </c>
      <c r="B36">
        <v>2001</v>
      </c>
      <c r="C36">
        <v>2</v>
      </c>
      <c r="D36">
        <v>0</v>
      </c>
      <c r="E36">
        <v>0</v>
      </c>
      <c r="F36">
        <v>488.23</v>
      </c>
    </row>
    <row r="37" spans="1:11" x14ac:dyDescent="0.3">
      <c r="A37" t="s">
        <v>11</v>
      </c>
      <c r="B37">
        <v>2001</v>
      </c>
      <c r="C37">
        <v>3</v>
      </c>
      <c r="D37">
        <v>0</v>
      </c>
      <c r="E37">
        <v>0</v>
      </c>
      <c r="F37">
        <v>502.41</v>
      </c>
    </row>
    <row r="38" spans="1:11" x14ac:dyDescent="0.3">
      <c r="A38" t="s">
        <v>11</v>
      </c>
      <c r="B38">
        <v>14</v>
      </c>
      <c r="C38">
        <v>7</v>
      </c>
      <c r="D38">
        <v>13512549.7734375</v>
      </c>
      <c r="E38">
        <v>0</v>
      </c>
      <c r="F38">
        <v>517.36</v>
      </c>
      <c r="G38" t="s">
        <v>7</v>
      </c>
      <c r="H38">
        <v>1</v>
      </c>
      <c r="I38">
        <f t="shared" ref="I38:J40" si="5">D38/(C38+D38)</f>
        <v>0.99999948196332367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11</v>
      </c>
      <c r="B39">
        <v>14</v>
      </c>
      <c r="C39">
        <v>9</v>
      </c>
      <c r="D39">
        <v>13084255.2299805</v>
      </c>
      <c r="E39">
        <v>0</v>
      </c>
      <c r="F39">
        <v>532.30999999999995</v>
      </c>
      <c r="G39" t="s">
        <v>7</v>
      </c>
      <c r="H39">
        <v>1</v>
      </c>
      <c r="I39">
        <f t="shared" si="5"/>
        <v>0.99999931215085225</v>
      </c>
      <c r="J39" s="6">
        <f t="shared" si="5"/>
        <v>0</v>
      </c>
      <c r="K39" s="2">
        <f>(J39*$N$3)/$N$2</f>
        <v>0</v>
      </c>
    </row>
    <row r="40" spans="1:11" x14ac:dyDescent="0.3">
      <c r="A40" t="s">
        <v>11</v>
      </c>
      <c r="B40">
        <v>14</v>
      </c>
      <c r="C40">
        <v>11</v>
      </c>
      <c r="D40">
        <v>13053856.6796875</v>
      </c>
      <c r="E40">
        <v>0</v>
      </c>
      <c r="F40">
        <v>547.21</v>
      </c>
      <c r="G40" t="s">
        <v>7</v>
      </c>
      <c r="H40">
        <v>1</v>
      </c>
      <c r="I40">
        <f t="shared" si="5"/>
        <v>0.99999915733786571</v>
      </c>
      <c r="J40" s="6">
        <f t="shared" si="5"/>
        <v>0</v>
      </c>
      <c r="K40" s="2">
        <f>(J40*$N$3)/$N$2</f>
        <v>0</v>
      </c>
    </row>
    <row r="41" spans="1:11" x14ac:dyDescent="0.3">
      <c r="A41" t="s">
        <v>11</v>
      </c>
      <c r="B41">
        <v>2001</v>
      </c>
      <c r="C41">
        <v>2</v>
      </c>
      <c r="D41">
        <v>0</v>
      </c>
      <c r="E41">
        <v>0</v>
      </c>
      <c r="F41">
        <v>561.54999999999995</v>
      </c>
    </row>
    <row r="42" spans="1:11" x14ac:dyDescent="0.3">
      <c r="A42" t="s">
        <v>11</v>
      </c>
      <c r="B42">
        <v>2001</v>
      </c>
      <c r="C42">
        <v>3</v>
      </c>
      <c r="D42">
        <v>0</v>
      </c>
      <c r="E42">
        <v>0</v>
      </c>
      <c r="F42">
        <v>575.86</v>
      </c>
    </row>
    <row r="43" spans="1:11" x14ac:dyDescent="0.3">
      <c r="A43" t="s">
        <v>11</v>
      </c>
      <c r="B43">
        <v>2001</v>
      </c>
      <c r="C43">
        <v>2</v>
      </c>
      <c r="D43">
        <v>0</v>
      </c>
      <c r="E43">
        <v>0</v>
      </c>
      <c r="F43">
        <v>590.27</v>
      </c>
    </row>
    <row r="44" spans="1:11" x14ac:dyDescent="0.3">
      <c r="A44" t="s">
        <v>11</v>
      </c>
      <c r="B44">
        <v>2001</v>
      </c>
      <c r="C44">
        <v>3</v>
      </c>
      <c r="D44">
        <v>0</v>
      </c>
      <c r="E44">
        <v>0</v>
      </c>
      <c r="F44">
        <v>604.4</v>
      </c>
    </row>
    <row r="45" spans="1:11" x14ac:dyDescent="0.3">
      <c r="A45" t="s">
        <v>11</v>
      </c>
      <c r="B45">
        <v>13</v>
      </c>
      <c r="C45">
        <v>1</v>
      </c>
      <c r="D45">
        <v>10188166.4296875</v>
      </c>
      <c r="E45">
        <v>0</v>
      </c>
      <c r="F45">
        <v>619.34</v>
      </c>
      <c r="G45" t="s">
        <v>6</v>
      </c>
      <c r="H45">
        <v>1.5</v>
      </c>
      <c r="I45">
        <f t="shared" ref="I45:J47" si="6">D45/(C45+D45)</f>
        <v>0.99999990184692122</v>
      </c>
      <c r="J45" s="6">
        <f t="shared" si="6"/>
        <v>0</v>
      </c>
      <c r="K45" s="2">
        <f>(J45*$N$3)/$N$2</f>
        <v>0</v>
      </c>
    </row>
    <row r="46" spans="1:11" x14ac:dyDescent="0.3">
      <c r="A46" t="s">
        <v>11</v>
      </c>
      <c r="B46">
        <v>13</v>
      </c>
      <c r="C46">
        <v>3</v>
      </c>
      <c r="D46">
        <v>11471253.0703125</v>
      </c>
      <c r="E46">
        <v>0</v>
      </c>
      <c r="F46">
        <v>634.16</v>
      </c>
      <c r="G46" t="s">
        <v>6</v>
      </c>
      <c r="H46">
        <v>1.5</v>
      </c>
      <c r="I46">
        <f t="shared" si="6"/>
        <v>0.99999973847676471</v>
      </c>
      <c r="J46" s="6">
        <f t="shared" si="6"/>
        <v>0</v>
      </c>
      <c r="K46" s="2">
        <f>(J46*$N$3)/$N$2</f>
        <v>0</v>
      </c>
    </row>
    <row r="47" spans="1:11" x14ac:dyDescent="0.3">
      <c r="A47" t="s">
        <v>11</v>
      </c>
      <c r="B47">
        <v>13</v>
      </c>
      <c r="C47">
        <v>5</v>
      </c>
      <c r="D47">
        <v>10931055.5625</v>
      </c>
      <c r="E47">
        <v>0</v>
      </c>
      <c r="F47">
        <v>649.13</v>
      </c>
      <c r="G47" t="s">
        <v>6</v>
      </c>
      <c r="H47">
        <v>1.5</v>
      </c>
      <c r="I47">
        <f t="shared" si="6"/>
        <v>0.99999954258784207</v>
      </c>
      <c r="J47" s="6">
        <f t="shared" si="6"/>
        <v>0</v>
      </c>
      <c r="K47" s="2">
        <f>(J47*$N$3)/$N$2</f>
        <v>0</v>
      </c>
    </row>
    <row r="48" spans="1:11" x14ac:dyDescent="0.3">
      <c r="A48" t="s">
        <v>11</v>
      </c>
      <c r="B48">
        <v>2001</v>
      </c>
      <c r="C48">
        <v>2</v>
      </c>
      <c r="D48">
        <v>0</v>
      </c>
      <c r="E48">
        <v>0</v>
      </c>
      <c r="F48">
        <v>663.58</v>
      </c>
    </row>
    <row r="49" spans="1:11" x14ac:dyDescent="0.3">
      <c r="A49" t="s">
        <v>11</v>
      </c>
      <c r="B49">
        <v>2001</v>
      </c>
      <c r="C49">
        <v>3</v>
      </c>
      <c r="D49">
        <v>0</v>
      </c>
      <c r="E49">
        <v>0</v>
      </c>
      <c r="F49">
        <v>677.78</v>
      </c>
    </row>
    <row r="50" spans="1:11" x14ac:dyDescent="0.3">
      <c r="A50" t="s">
        <v>11</v>
      </c>
      <c r="B50">
        <v>13</v>
      </c>
      <c r="C50">
        <v>7</v>
      </c>
      <c r="D50">
        <v>13053129.7539063</v>
      </c>
      <c r="E50">
        <v>0</v>
      </c>
      <c r="F50">
        <v>692.61</v>
      </c>
      <c r="G50" t="s">
        <v>7</v>
      </c>
      <c r="H50">
        <v>1.5</v>
      </c>
      <c r="I50">
        <f t="shared" ref="I50:J52" si="7">D50/(C50+D50)</f>
        <v>0.99999946373043258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11</v>
      </c>
      <c r="B51">
        <v>13</v>
      </c>
      <c r="C51">
        <v>9</v>
      </c>
      <c r="D51">
        <v>13407328.603515601</v>
      </c>
      <c r="E51">
        <v>0</v>
      </c>
      <c r="F51">
        <v>707.48</v>
      </c>
      <c r="G51" t="s">
        <v>7</v>
      </c>
      <c r="H51">
        <v>1.5</v>
      </c>
      <c r="I51">
        <f t="shared" si="7"/>
        <v>0.9999993287257869</v>
      </c>
      <c r="J51" s="6">
        <f t="shared" si="7"/>
        <v>0</v>
      </c>
      <c r="K51" s="2">
        <f>(J51*$N$3)/$N$2</f>
        <v>0</v>
      </c>
    </row>
    <row r="52" spans="1:11" x14ac:dyDescent="0.3">
      <c r="A52" t="s">
        <v>11</v>
      </c>
      <c r="B52">
        <v>13</v>
      </c>
      <c r="C52">
        <v>11</v>
      </c>
      <c r="D52">
        <v>13749838.4101563</v>
      </c>
      <c r="E52">
        <v>0</v>
      </c>
      <c r="F52">
        <v>722.47</v>
      </c>
      <c r="G52" t="s">
        <v>7</v>
      </c>
      <c r="H52">
        <v>1.5</v>
      </c>
      <c r="I52">
        <f t="shared" si="7"/>
        <v>0.99999919999123832</v>
      </c>
      <c r="J52" s="6">
        <f t="shared" si="7"/>
        <v>0</v>
      </c>
      <c r="K52" s="2">
        <f>(J52*$N$3)/$N$2</f>
        <v>0</v>
      </c>
    </row>
    <row r="53" spans="1:11" x14ac:dyDescent="0.3">
      <c r="A53" t="s">
        <v>11</v>
      </c>
      <c r="B53">
        <v>2001</v>
      </c>
      <c r="C53">
        <v>2</v>
      </c>
      <c r="D53">
        <v>0</v>
      </c>
      <c r="E53">
        <v>0</v>
      </c>
      <c r="F53">
        <v>736.78</v>
      </c>
    </row>
    <row r="54" spans="1:11" x14ac:dyDescent="0.3">
      <c r="A54" t="s">
        <v>11</v>
      </c>
      <c r="B54">
        <v>2001</v>
      </c>
      <c r="C54">
        <v>3</v>
      </c>
      <c r="D54">
        <v>0</v>
      </c>
      <c r="E54">
        <v>0</v>
      </c>
      <c r="F54">
        <v>751.06</v>
      </c>
    </row>
    <row r="55" spans="1:11" x14ac:dyDescent="0.3">
      <c r="A55" t="s">
        <v>11</v>
      </c>
      <c r="B55">
        <v>2001</v>
      </c>
      <c r="C55">
        <v>2</v>
      </c>
      <c r="D55">
        <v>0</v>
      </c>
      <c r="E55">
        <v>0</v>
      </c>
      <c r="F55">
        <v>765.5</v>
      </c>
    </row>
    <row r="56" spans="1:11" x14ac:dyDescent="0.3">
      <c r="A56" t="s">
        <v>11</v>
      </c>
      <c r="B56">
        <v>2001</v>
      </c>
      <c r="C56">
        <v>3</v>
      </c>
      <c r="D56">
        <v>0</v>
      </c>
      <c r="E56">
        <v>0</v>
      </c>
      <c r="F56">
        <v>779.67</v>
      </c>
    </row>
    <row r="57" spans="1:11" x14ac:dyDescent="0.3">
      <c r="A57" t="s">
        <v>11</v>
      </c>
      <c r="B57">
        <v>12</v>
      </c>
      <c r="C57">
        <v>1</v>
      </c>
      <c r="D57">
        <v>10089644.330566401</v>
      </c>
      <c r="E57">
        <v>0</v>
      </c>
      <c r="F57">
        <v>794.52</v>
      </c>
      <c r="G57" t="s">
        <v>6</v>
      </c>
      <c r="H57">
        <v>3</v>
      </c>
      <c r="I57">
        <f t="shared" ref="I57:J59" si="8">D57/(C57+D57)</f>
        <v>0.99999990088848845</v>
      </c>
      <c r="J57" s="6">
        <f t="shared" si="8"/>
        <v>0</v>
      </c>
      <c r="K57" s="2">
        <f>(J57*$N$3)/$N$2</f>
        <v>0</v>
      </c>
    </row>
    <row r="58" spans="1:11" x14ac:dyDescent="0.3">
      <c r="A58" t="s">
        <v>11</v>
      </c>
      <c r="B58">
        <v>12</v>
      </c>
      <c r="C58">
        <v>3</v>
      </c>
      <c r="D58">
        <v>12092016.294921899</v>
      </c>
      <c r="E58">
        <v>0</v>
      </c>
      <c r="F58">
        <v>809.51</v>
      </c>
      <c r="G58" t="s">
        <v>6</v>
      </c>
      <c r="H58">
        <v>3</v>
      </c>
      <c r="I58">
        <f t="shared" si="8"/>
        <v>0.99999975190247992</v>
      </c>
      <c r="J58" s="6">
        <f t="shared" si="8"/>
        <v>0</v>
      </c>
      <c r="K58" s="2">
        <f>(J58*$N$3)/$N$2</f>
        <v>0</v>
      </c>
    </row>
    <row r="59" spans="1:11" x14ac:dyDescent="0.3">
      <c r="A59" t="s">
        <v>11</v>
      </c>
      <c r="B59">
        <v>12</v>
      </c>
      <c r="C59">
        <v>5</v>
      </c>
      <c r="D59">
        <v>11511051.837890601</v>
      </c>
      <c r="E59">
        <v>0</v>
      </c>
      <c r="F59">
        <v>824.43</v>
      </c>
      <c r="G59" t="s">
        <v>6</v>
      </c>
      <c r="H59">
        <v>3</v>
      </c>
      <c r="I59">
        <f t="shared" si="8"/>
        <v>0.99999956563501768</v>
      </c>
      <c r="J59" s="6">
        <f t="shared" si="8"/>
        <v>0</v>
      </c>
      <c r="K59" s="2">
        <f>(J59*$N$3)/$N$2</f>
        <v>0</v>
      </c>
    </row>
    <row r="60" spans="1:11" x14ac:dyDescent="0.3">
      <c r="A60" t="s">
        <v>11</v>
      </c>
      <c r="B60">
        <v>2001</v>
      </c>
      <c r="C60">
        <v>2</v>
      </c>
      <c r="D60">
        <v>0</v>
      </c>
      <c r="E60">
        <v>0</v>
      </c>
      <c r="F60">
        <v>838.83</v>
      </c>
    </row>
    <row r="61" spans="1:11" x14ac:dyDescent="0.3">
      <c r="A61" t="s">
        <v>11</v>
      </c>
      <c r="B61">
        <v>2001</v>
      </c>
      <c r="C61">
        <v>3</v>
      </c>
      <c r="D61">
        <v>0</v>
      </c>
      <c r="E61">
        <v>0</v>
      </c>
      <c r="F61">
        <v>853</v>
      </c>
    </row>
    <row r="62" spans="1:11" x14ac:dyDescent="0.3">
      <c r="A62" t="s">
        <v>11</v>
      </c>
      <c r="B62">
        <v>12</v>
      </c>
      <c r="C62">
        <v>7</v>
      </c>
      <c r="D62">
        <v>12906010.736816401</v>
      </c>
      <c r="E62">
        <v>0</v>
      </c>
      <c r="F62">
        <v>867.82</v>
      </c>
      <c r="G62" t="s">
        <v>7</v>
      </c>
      <c r="H62">
        <v>3</v>
      </c>
      <c r="I62">
        <f t="shared" ref="I62:J64" si="9">D62/(C62+D62)</f>
        <v>0.99999945761735787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11</v>
      </c>
      <c r="B63">
        <v>12</v>
      </c>
      <c r="C63">
        <v>9</v>
      </c>
      <c r="D63">
        <v>13191696.1875</v>
      </c>
      <c r="E63">
        <v>0</v>
      </c>
      <c r="F63">
        <v>882.74</v>
      </c>
      <c r="G63" t="s">
        <v>7</v>
      </c>
      <c r="H63">
        <v>3</v>
      </c>
      <c r="I63">
        <f t="shared" si="9"/>
        <v>0.99999931775309769</v>
      </c>
      <c r="J63" s="6">
        <f t="shared" si="9"/>
        <v>0</v>
      </c>
      <c r="K63" s="2">
        <f>(J63*$N$3)/$N$2</f>
        <v>0</v>
      </c>
    </row>
    <row r="64" spans="1:11" x14ac:dyDescent="0.3">
      <c r="A64" t="s">
        <v>11</v>
      </c>
      <c r="B64">
        <v>12</v>
      </c>
      <c r="C64">
        <v>11</v>
      </c>
      <c r="D64">
        <v>13807827.815429701</v>
      </c>
      <c r="E64">
        <v>0</v>
      </c>
      <c r="F64">
        <v>897.7</v>
      </c>
      <c r="G64" t="s">
        <v>7</v>
      </c>
      <c r="H64">
        <v>3</v>
      </c>
      <c r="I64">
        <f t="shared" si="9"/>
        <v>0.99999920335107129</v>
      </c>
      <c r="J64" s="6">
        <f t="shared" si="9"/>
        <v>0</v>
      </c>
      <c r="K64" s="2">
        <f>(J64*$N$3)/$N$2</f>
        <v>0</v>
      </c>
    </row>
    <row r="65" spans="1:11" x14ac:dyDescent="0.3">
      <c r="A65" t="s">
        <v>11</v>
      </c>
      <c r="B65">
        <v>2001</v>
      </c>
      <c r="C65">
        <v>2</v>
      </c>
      <c r="D65">
        <v>0</v>
      </c>
      <c r="E65">
        <v>0</v>
      </c>
      <c r="F65">
        <v>912.15</v>
      </c>
    </row>
    <row r="66" spans="1:11" x14ac:dyDescent="0.3">
      <c r="A66" t="s">
        <v>11</v>
      </c>
      <c r="B66">
        <v>2001</v>
      </c>
      <c r="C66">
        <v>3</v>
      </c>
      <c r="D66">
        <v>0</v>
      </c>
      <c r="E66">
        <v>0</v>
      </c>
      <c r="F66">
        <v>926.33</v>
      </c>
    </row>
    <row r="67" spans="1:11" x14ac:dyDescent="0.3">
      <c r="A67" t="s">
        <v>11</v>
      </c>
      <c r="B67">
        <v>2001</v>
      </c>
      <c r="C67">
        <v>2</v>
      </c>
      <c r="D67">
        <v>0</v>
      </c>
      <c r="E67">
        <v>0</v>
      </c>
      <c r="F67">
        <v>940.68</v>
      </c>
    </row>
    <row r="68" spans="1:11" x14ac:dyDescent="0.3">
      <c r="A68" t="s">
        <v>11</v>
      </c>
      <c r="B68">
        <v>2001</v>
      </c>
      <c r="C68">
        <v>3</v>
      </c>
      <c r="D68">
        <v>0</v>
      </c>
      <c r="E68">
        <v>0</v>
      </c>
      <c r="F68">
        <v>954.87</v>
      </c>
    </row>
    <row r="69" spans="1:11" x14ac:dyDescent="0.3">
      <c r="A69" t="s">
        <v>11</v>
      </c>
      <c r="B69">
        <v>11</v>
      </c>
      <c r="C69">
        <v>1</v>
      </c>
      <c r="D69">
        <v>10722674.7724609</v>
      </c>
      <c r="E69">
        <v>0</v>
      </c>
      <c r="F69">
        <v>969.86</v>
      </c>
      <c r="G69" t="s">
        <v>6</v>
      </c>
      <c r="H69">
        <v>5</v>
      </c>
      <c r="I69">
        <f t="shared" ref="I69:J71" si="10">D69/(C69+D69)</f>
        <v>0.99999990673969619</v>
      </c>
      <c r="J69" s="6">
        <f t="shared" si="10"/>
        <v>0</v>
      </c>
      <c r="K69" s="2">
        <f>(J69*$N$3)/$N$2</f>
        <v>0</v>
      </c>
    </row>
    <row r="70" spans="1:11" x14ac:dyDescent="0.3">
      <c r="A70" t="s">
        <v>11</v>
      </c>
      <c r="B70">
        <v>11</v>
      </c>
      <c r="C70">
        <v>3</v>
      </c>
      <c r="D70">
        <v>11516216.997070299</v>
      </c>
      <c r="E70">
        <v>0</v>
      </c>
      <c r="F70">
        <v>984.71</v>
      </c>
      <c r="G70" t="s">
        <v>6</v>
      </c>
      <c r="H70">
        <v>5</v>
      </c>
      <c r="I70">
        <f t="shared" si="10"/>
        <v>0.99999973949785603</v>
      </c>
      <c r="J70" s="6">
        <f t="shared" si="10"/>
        <v>0</v>
      </c>
      <c r="K70" s="2">
        <f>(J70*$N$3)/$N$2</f>
        <v>0</v>
      </c>
    </row>
    <row r="71" spans="1:11" x14ac:dyDescent="0.3">
      <c r="A71" t="s">
        <v>11</v>
      </c>
      <c r="B71">
        <v>11</v>
      </c>
      <c r="C71">
        <v>5</v>
      </c>
      <c r="D71">
        <v>10925607.6337891</v>
      </c>
      <c r="E71">
        <v>0</v>
      </c>
      <c r="F71">
        <v>999.7</v>
      </c>
      <c r="G71" t="s">
        <v>6</v>
      </c>
      <c r="H71">
        <v>5</v>
      </c>
      <c r="I71">
        <f t="shared" si="10"/>
        <v>0.99999954235975885</v>
      </c>
      <c r="J71" s="6">
        <f t="shared" si="10"/>
        <v>0</v>
      </c>
      <c r="K71" s="2">
        <f>(J71*$N$3)/$N$2</f>
        <v>0</v>
      </c>
    </row>
    <row r="72" spans="1:11" x14ac:dyDescent="0.3">
      <c r="A72" t="s">
        <v>11</v>
      </c>
      <c r="B72">
        <v>2001</v>
      </c>
      <c r="C72">
        <v>2</v>
      </c>
      <c r="D72">
        <v>0</v>
      </c>
      <c r="E72">
        <v>0</v>
      </c>
      <c r="F72">
        <v>1014.02</v>
      </c>
    </row>
    <row r="73" spans="1:11" x14ac:dyDescent="0.3">
      <c r="A73" t="s">
        <v>11</v>
      </c>
      <c r="B73">
        <v>2001</v>
      </c>
      <c r="C73">
        <v>3</v>
      </c>
      <c r="D73">
        <v>0</v>
      </c>
      <c r="E73">
        <v>0</v>
      </c>
      <c r="F73">
        <v>1028.31</v>
      </c>
    </row>
    <row r="74" spans="1:11" x14ac:dyDescent="0.3">
      <c r="A74" t="s">
        <v>11</v>
      </c>
      <c r="B74">
        <v>11</v>
      </c>
      <c r="C74">
        <v>7</v>
      </c>
      <c r="D74">
        <v>13009156.3945313</v>
      </c>
      <c r="E74">
        <v>0</v>
      </c>
      <c r="F74">
        <v>1043.1300000000001</v>
      </c>
      <c r="G74" t="s">
        <v>7</v>
      </c>
      <c r="H74">
        <v>5</v>
      </c>
      <c r="I74">
        <f t="shared" ref="I74:J76" si="11">D74/(C74+D74)</f>
        <v>0.99999946191774303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11</v>
      </c>
      <c r="B75">
        <v>11</v>
      </c>
      <c r="C75">
        <v>9</v>
      </c>
      <c r="D75">
        <v>12687886.0703125</v>
      </c>
      <c r="E75">
        <v>0</v>
      </c>
      <c r="F75">
        <v>1058.0999999999999</v>
      </c>
      <c r="G75" t="s">
        <v>7</v>
      </c>
      <c r="H75">
        <v>5</v>
      </c>
      <c r="I75">
        <f t="shared" si="11"/>
        <v>0.99999929066248183</v>
      </c>
      <c r="J75" s="6">
        <f t="shared" si="11"/>
        <v>0</v>
      </c>
      <c r="K75" s="2">
        <f>(J75*$N$3)/$N$2</f>
        <v>0</v>
      </c>
    </row>
    <row r="76" spans="1:11" x14ac:dyDescent="0.3">
      <c r="A76" t="s">
        <v>11</v>
      </c>
      <c r="B76">
        <v>11</v>
      </c>
      <c r="C76">
        <v>11</v>
      </c>
      <c r="D76">
        <v>12594829.458007799</v>
      </c>
      <c r="E76">
        <v>0</v>
      </c>
      <c r="F76">
        <v>1072.95</v>
      </c>
      <c r="G76" t="s">
        <v>7</v>
      </c>
      <c r="H76">
        <v>5</v>
      </c>
      <c r="I76">
        <f t="shared" si="11"/>
        <v>0.99999912662649149</v>
      </c>
      <c r="J76" s="6">
        <f t="shared" si="11"/>
        <v>0</v>
      </c>
      <c r="K76" s="2">
        <f>(J76*$N$3)/$N$2</f>
        <v>0</v>
      </c>
    </row>
    <row r="77" spans="1:11" x14ac:dyDescent="0.3">
      <c r="A77" t="s">
        <v>11</v>
      </c>
      <c r="B77">
        <v>2001</v>
      </c>
      <c r="C77">
        <v>2</v>
      </c>
      <c r="D77">
        <v>0</v>
      </c>
      <c r="E77">
        <v>0</v>
      </c>
      <c r="F77">
        <v>1087.42</v>
      </c>
    </row>
    <row r="78" spans="1:11" x14ac:dyDescent="0.3">
      <c r="A78" t="s">
        <v>11</v>
      </c>
      <c r="B78">
        <v>2001</v>
      </c>
      <c r="C78">
        <v>3</v>
      </c>
      <c r="D78">
        <v>0</v>
      </c>
      <c r="E78">
        <v>0</v>
      </c>
      <c r="F78">
        <v>1101.5999999999999</v>
      </c>
    </row>
    <row r="79" spans="1:11" x14ac:dyDescent="0.3">
      <c r="A79" t="s">
        <v>11</v>
      </c>
      <c r="B79">
        <v>2001</v>
      </c>
      <c r="C79">
        <v>2</v>
      </c>
      <c r="D79">
        <v>0</v>
      </c>
      <c r="E79">
        <v>0</v>
      </c>
      <c r="F79">
        <v>1116.06</v>
      </c>
    </row>
    <row r="80" spans="1:11" x14ac:dyDescent="0.3">
      <c r="A80" t="s">
        <v>11</v>
      </c>
      <c r="B80">
        <v>2001</v>
      </c>
      <c r="C80">
        <v>3</v>
      </c>
      <c r="D80">
        <v>0</v>
      </c>
      <c r="E80">
        <v>0</v>
      </c>
      <c r="F80">
        <v>1130.25</v>
      </c>
    </row>
    <row r="81" spans="1:11" x14ac:dyDescent="0.3">
      <c r="A81" t="s">
        <v>11</v>
      </c>
      <c r="B81">
        <v>10</v>
      </c>
      <c r="C81">
        <v>1</v>
      </c>
      <c r="D81">
        <v>9588271.92578125</v>
      </c>
      <c r="E81">
        <v>0</v>
      </c>
      <c r="F81">
        <v>1145.0899999999999</v>
      </c>
      <c r="G81" t="s">
        <v>6</v>
      </c>
      <c r="H81">
        <v>10</v>
      </c>
      <c r="I81">
        <f t="shared" ref="I81:J83" si="12">D81/(C81+D81)</f>
        <v>0.99999989570593084</v>
      </c>
      <c r="J81" s="6">
        <f t="shared" si="12"/>
        <v>0</v>
      </c>
      <c r="K81" s="2">
        <f>(J81*$N$3)/$N$2</f>
        <v>0</v>
      </c>
    </row>
    <row r="82" spans="1:11" x14ac:dyDescent="0.3">
      <c r="A82" t="s">
        <v>11</v>
      </c>
      <c r="B82">
        <v>10</v>
      </c>
      <c r="C82">
        <v>3</v>
      </c>
      <c r="D82">
        <v>11208225.689453101</v>
      </c>
      <c r="E82">
        <v>0</v>
      </c>
      <c r="F82">
        <v>1160.03</v>
      </c>
      <c r="G82" t="s">
        <v>6</v>
      </c>
      <c r="H82">
        <v>10</v>
      </c>
      <c r="I82">
        <f t="shared" si="12"/>
        <v>0.99999973233950845</v>
      </c>
      <c r="J82" s="6">
        <f t="shared" si="12"/>
        <v>0</v>
      </c>
      <c r="K82" s="2">
        <f>(J82*$N$3)/$N$2</f>
        <v>0</v>
      </c>
    </row>
    <row r="83" spans="1:11" x14ac:dyDescent="0.3">
      <c r="A83" t="s">
        <v>11</v>
      </c>
      <c r="B83">
        <v>10</v>
      </c>
      <c r="C83">
        <v>5</v>
      </c>
      <c r="D83">
        <v>9960095.8720703106</v>
      </c>
      <c r="E83">
        <v>0</v>
      </c>
      <c r="F83">
        <v>1174.95</v>
      </c>
      <c r="G83" t="s">
        <v>6</v>
      </c>
      <c r="H83">
        <v>10</v>
      </c>
      <c r="I83">
        <f t="shared" si="12"/>
        <v>0.99999949799705201</v>
      </c>
      <c r="J83" s="6">
        <f t="shared" si="12"/>
        <v>0</v>
      </c>
      <c r="K83" s="2">
        <f>(J83*$N$3)/$N$2</f>
        <v>0</v>
      </c>
    </row>
    <row r="84" spans="1:11" x14ac:dyDescent="0.3">
      <c r="A84" t="s">
        <v>11</v>
      </c>
      <c r="B84">
        <v>2001</v>
      </c>
      <c r="C84">
        <v>2</v>
      </c>
      <c r="D84">
        <v>0</v>
      </c>
      <c r="E84">
        <v>0</v>
      </c>
      <c r="F84">
        <v>1189.4000000000001</v>
      </c>
    </row>
    <row r="85" spans="1:11" x14ac:dyDescent="0.3">
      <c r="A85" t="s">
        <v>11</v>
      </c>
      <c r="B85">
        <v>2001</v>
      </c>
      <c r="C85">
        <v>3</v>
      </c>
      <c r="D85">
        <v>0</v>
      </c>
      <c r="E85">
        <v>0</v>
      </c>
      <c r="F85">
        <v>1203.5899999999999</v>
      </c>
    </row>
    <row r="86" spans="1:11" x14ac:dyDescent="0.3">
      <c r="A86" t="s">
        <v>11</v>
      </c>
      <c r="B86">
        <v>10</v>
      </c>
      <c r="C86">
        <v>7</v>
      </c>
      <c r="D86">
        <v>13031495.362793</v>
      </c>
      <c r="E86">
        <v>0</v>
      </c>
      <c r="F86">
        <v>1218.3900000000001</v>
      </c>
      <c r="G86" t="s">
        <v>7</v>
      </c>
      <c r="H86">
        <v>10</v>
      </c>
      <c r="I86">
        <f t="shared" ref="I86:J88" si="13">D86/(C86+D86)</f>
        <v>0.99999946284013885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11</v>
      </c>
      <c r="B87">
        <v>10</v>
      </c>
      <c r="C87">
        <v>9</v>
      </c>
      <c r="D87">
        <v>12975429.396484399</v>
      </c>
      <c r="E87">
        <v>0</v>
      </c>
      <c r="F87">
        <v>1233.0999999999999</v>
      </c>
      <c r="G87" t="s">
        <v>7</v>
      </c>
      <c r="H87">
        <v>10</v>
      </c>
      <c r="I87">
        <f t="shared" si="13"/>
        <v>0.99999930638181733</v>
      </c>
      <c r="J87" s="6">
        <f t="shared" si="13"/>
        <v>0</v>
      </c>
      <c r="K87" s="2">
        <f>(J87*$N$3)/$N$2</f>
        <v>0</v>
      </c>
    </row>
    <row r="88" spans="1:11" x14ac:dyDescent="0.3">
      <c r="A88" t="s">
        <v>11</v>
      </c>
      <c r="B88">
        <v>10</v>
      </c>
      <c r="C88">
        <v>11</v>
      </c>
      <c r="D88">
        <v>12927864.296875</v>
      </c>
      <c r="E88">
        <v>0</v>
      </c>
      <c r="F88">
        <v>1247.8</v>
      </c>
      <c r="G88" t="s">
        <v>7</v>
      </c>
      <c r="H88">
        <v>10</v>
      </c>
      <c r="I88">
        <f t="shared" si="13"/>
        <v>0.99999914912545584</v>
      </c>
      <c r="J88" s="6">
        <f t="shared" si="13"/>
        <v>0</v>
      </c>
      <c r="K88" s="2">
        <f>(J88*$N$3)/$N$2</f>
        <v>0</v>
      </c>
    </row>
    <row r="89" spans="1:11" x14ac:dyDescent="0.3">
      <c r="A89" t="s">
        <v>11</v>
      </c>
      <c r="B89">
        <v>2001</v>
      </c>
      <c r="C89">
        <v>2</v>
      </c>
      <c r="D89">
        <v>0</v>
      </c>
      <c r="E89">
        <v>0</v>
      </c>
      <c r="F89">
        <v>1262.23</v>
      </c>
    </row>
    <row r="90" spans="1:11" x14ac:dyDescent="0.3">
      <c r="A90" t="s">
        <v>11</v>
      </c>
      <c r="B90">
        <v>2001</v>
      </c>
      <c r="C90">
        <v>3</v>
      </c>
      <c r="D90">
        <v>0</v>
      </c>
      <c r="E90">
        <v>0</v>
      </c>
      <c r="F90">
        <v>1276.43</v>
      </c>
    </row>
    <row r="91" spans="1:11" x14ac:dyDescent="0.3">
      <c r="A91" t="s">
        <v>11</v>
      </c>
      <c r="B91">
        <v>2001</v>
      </c>
      <c r="C91">
        <v>2</v>
      </c>
      <c r="D91">
        <v>0</v>
      </c>
      <c r="E91">
        <v>0</v>
      </c>
      <c r="F91">
        <v>1290.75</v>
      </c>
    </row>
    <row r="92" spans="1:11" x14ac:dyDescent="0.3">
      <c r="A92" t="s">
        <v>11</v>
      </c>
      <c r="B92">
        <v>2001</v>
      </c>
      <c r="C92">
        <v>3</v>
      </c>
      <c r="D92">
        <v>0</v>
      </c>
      <c r="E92">
        <v>0</v>
      </c>
      <c r="F92">
        <v>1305.05</v>
      </c>
    </row>
    <row r="93" spans="1:11" x14ac:dyDescent="0.3">
      <c r="A93" t="s">
        <v>11</v>
      </c>
      <c r="B93">
        <v>9</v>
      </c>
      <c r="C93">
        <v>1</v>
      </c>
      <c r="D93">
        <v>8718125.65771484</v>
      </c>
      <c r="E93">
        <v>35524.8486328125</v>
      </c>
      <c r="F93">
        <v>1319.87</v>
      </c>
      <c r="G93" t="s">
        <v>6</v>
      </c>
      <c r="H93">
        <v>20</v>
      </c>
      <c r="I93">
        <f t="shared" ref="I93:J95" si="14">D93/(C93+D93)</f>
        <v>0.99999988529645878</v>
      </c>
      <c r="J93" s="6">
        <f t="shared" si="14"/>
        <v>4.0582895795362043E-3</v>
      </c>
      <c r="K93" s="2">
        <f>(J93*$N$3)/$N$2</f>
        <v>1.3936400494697312E-2</v>
      </c>
    </row>
    <row r="94" spans="1:11" x14ac:dyDescent="0.3">
      <c r="A94" t="s">
        <v>11</v>
      </c>
      <c r="B94">
        <v>9</v>
      </c>
      <c r="C94">
        <v>3</v>
      </c>
      <c r="D94">
        <v>10889575.684082</v>
      </c>
      <c r="E94">
        <v>36914.717285156301</v>
      </c>
      <c r="F94">
        <v>1334.8</v>
      </c>
      <c r="G94" t="s">
        <v>6</v>
      </c>
      <c r="H94">
        <v>20</v>
      </c>
      <c r="I94">
        <f t="shared" si="14"/>
        <v>0.99999972450724794</v>
      </c>
      <c r="J94" s="6">
        <f t="shared" si="14"/>
        <v>3.3784605970584498E-3</v>
      </c>
      <c r="K94" s="2">
        <f>(J94*$N$3)/$N$2</f>
        <v>1.1601828556931523E-2</v>
      </c>
    </row>
    <row r="95" spans="1:11" x14ac:dyDescent="0.3">
      <c r="A95" t="s">
        <v>11</v>
      </c>
      <c r="B95">
        <v>9</v>
      </c>
      <c r="C95">
        <v>5</v>
      </c>
      <c r="D95">
        <v>11678493.1806641</v>
      </c>
      <c r="E95">
        <v>43882.143066406301</v>
      </c>
      <c r="F95">
        <v>1349.72</v>
      </c>
      <c r="G95" t="s">
        <v>6</v>
      </c>
      <c r="H95">
        <v>20</v>
      </c>
      <c r="I95">
        <f t="shared" si="14"/>
        <v>0.99999957186275812</v>
      </c>
      <c r="J95" s="6">
        <f t="shared" si="14"/>
        <v>3.7434514639343021E-3</v>
      </c>
      <c r="K95" s="2">
        <f>(J95*$N$3)/$N$2</f>
        <v>1.2855228246135062E-2</v>
      </c>
    </row>
    <row r="96" spans="1:11" x14ac:dyDescent="0.3">
      <c r="A96" t="s">
        <v>11</v>
      </c>
      <c r="B96">
        <v>2001</v>
      </c>
      <c r="C96">
        <v>2</v>
      </c>
      <c r="D96">
        <v>0</v>
      </c>
      <c r="E96">
        <v>0</v>
      </c>
      <c r="F96">
        <v>1364.16</v>
      </c>
    </row>
    <row r="97" spans="1:11" x14ac:dyDescent="0.3">
      <c r="A97" t="s">
        <v>11</v>
      </c>
      <c r="B97">
        <v>2001</v>
      </c>
      <c r="C97">
        <v>3</v>
      </c>
      <c r="D97">
        <v>0</v>
      </c>
      <c r="E97">
        <v>0</v>
      </c>
      <c r="F97">
        <v>1378.29</v>
      </c>
    </row>
    <row r="98" spans="1:11" x14ac:dyDescent="0.3">
      <c r="A98" t="s">
        <v>11</v>
      </c>
      <c r="B98">
        <v>9</v>
      </c>
      <c r="C98">
        <v>7</v>
      </c>
      <c r="D98">
        <v>11686849.837890601</v>
      </c>
      <c r="E98">
        <v>0</v>
      </c>
      <c r="F98">
        <v>1393.28</v>
      </c>
      <c r="G98" t="s">
        <v>7</v>
      </c>
      <c r="H98">
        <v>20</v>
      </c>
      <c r="I98">
        <f t="shared" ref="I98:J100" si="15">D98/(C98+D98)</f>
        <v>0.99999940103655782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11</v>
      </c>
      <c r="B99">
        <v>9</v>
      </c>
      <c r="C99">
        <v>9</v>
      </c>
      <c r="D99">
        <v>12164409.699707</v>
      </c>
      <c r="E99">
        <v>0</v>
      </c>
      <c r="F99">
        <v>1407.88</v>
      </c>
      <c r="G99" t="s">
        <v>7</v>
      </c>
      <c r="H99">
        <v>20</v>
      </c>
      <c r="I99">
        <f t="shared" si="15"/>
        <v>0.99999926013727225</v>
      </c>
      <c r="J99" s="6">
        <f t="shared" si="15"/>
        <v>0</v>
      </c>
      <c r="K99" s="2">
        <f>(J99*$N$3)/$N$2</f>
        <v>0</v>
      </c>
    </row>
    <row r="100" spans="1:11" x14ac:dyDescent="0.3">
      <c r="A100" t="s">
        <v>11</v>
      </c>
      <c r="B100">
        <v>9</v>
      </c>
      <c r="C100">
        <v>11</v>
      </c>
      <c r="D100">
        <v>12846447.2460938</v>
      </c>
      <c r="E100">
        <v>0</v>
      </c>
      <c r="F100">
        <v>1422.58</v>
      </c>
      <c r="G100" t="s">
        <v>7</v>
      </c>
      <c r="H100">
        <v>20</v>
      </c>
      <c r="I100">
        <f t="shared" si="15"/>
        <v>0.9999991437328648</v>
      </c>
      <c r="J100" s="6">
        <f t="shared" si="15"/>
        <v>0</v>
      </c>
      <c r="K100" s="2">
        <f>(J100*$N$3)/$N$2</f>
        <v>0</v>
      </c>
    </row>
    <row r="101" spans="1:11" x14ac:dyDescent="0.3">
      <c r="A101" t="s">
        <v>11</v>
      </c>
      <c r="B101">
        <v>2001</v>
      </c>
      <c r="C101">
        <v>2</v>
      </c>
      <c r="D101">
        <v>0</v>
      </c>
      <c r="E101">
        <v>0</v>
      </c>
      <c r="F101">
        <v>1437.01</v>
      </c>
    </row>
    <row r="102" spans="1:11" x14ac:dyDescent="0.3">
      <c r="A102" t="s">
        <v>11</v>
      </c>
      <c r="B102">
        <v>2001</v>
      </c>
      <c r="C102">
        <v>3</v>
      </c>
      <c r="D102">
        <v>0</v>
      </c>
      <c r="E102">
        <v>0</v>
      </c>
      <c r="F102">
        <v>1451.23</v>
      </c>
    </row>
    <row r="103" spans="1:11" x14ac:dyDescent="0.3">
      <c r="A103" t="s">
        <v>11</v>
      </c>
      <c r="B103">
        <v>2001</v>
      </c>
      <c r="C103">
        <v>2</v>
      </c>
      <c r="D103">
        <v>0</v>
      </c>
      <c r="E103">
        <v>0</v>
      </c>
      <c r="F103">
        <v>1465.67</v>
      </c>
    </row>
    <row r="104" spans="1:11" x14ac:dyDescent="0.3">
      <c r="A104" t="s">
        <v>11</v>
      </c>
      <c r="B104">
        <v>2001</v>
      </c>
      <c r="C104">
        <v>3</v>
      </c>
      <c r="D104">
        <v>0</v>
      </c>
      <c r="E104">
        <v>0</v>
      </c>
      <c r="F104">
        <v>1479.86</v>
      </c>
    </row>
    <row r="105" spans="1:11" x14ac:dyDescent="0.3">
      <c r="A105" t="s">
        <v>11</v>
      </c>
      <c r="B105">
        <v>2001</v>
      </c>
      <c r="C105">
        <v>2</v>
      </c>
      <c r="D105">
        <v>0</v>
      </c>
      <c r="E105">
        <v>0</v>
      </c>
      <c r="F105">
        <v>1494.29</v>
      </c>
    </row>
    <row r="106" spans="1:11" x14ac:dyDescent="0.3">
      <c r="A106" t="s">
        <v>11</v>
      </c>
      <c r="B106">
        <v>2001</v>
      </c>
      <c r="C106">
        <v>3</v>
      </c>
      <c r="D106">
        <v>0</v>
      </c>
      <c r="E106">
        <v>0</v>
      </c>
      <c r="F106">
        <v>1508.43</v>
      </c>
    </row>
    <row r="107" spans="1:11" x14ac:dyDescent="0.3">
      <c r="A107" t="s">
        <v>11</v>
      </c>
      <c r="B107">
        <v>8</v>
      </c>
      <c r="C107">
        <v>1</v>
      </c>
      <c r="D107">
        <v>0</v>
      </c>
      <c r="E107">
        <v>0</v>
      </c>
      <c r="F107">
        <v>1523.28</v>
      </c>
      <c r="G107" t="s">
        <v>6</v>
      </c>
      <c r="H107">
        <v>40</v>
      </c>
      <c r="I107">
        <f t="shared" ref="I107:J109" si="16">D107/(C107+D107)</f>
        <v>0</v>
      </c>
      <c r="J107" s="6" t="e">
        <f t="shared" si="16"/>
        <v>#DIV/0!</v>
      </c>
      <c r="K107" s="2" t="e">
        <f>(J107*$N$3)/$N$2</f>
        <v>#DIV/0!</v>
      </c>
    </row>
    <row r="108" spans="1:11" x14ac:dyDescent="0.3">
      <c r="A108" t="s">
        <v>11</v>
      </c>
      <c r="B108">
        <v>8</v>
      </c>
      <c r="C108">
        <v>3</v>
      </c>
      <c r="D108">
        <v>0</v>
      </c>
      <c r="E108">
        <v>0</v>
      </c>
      <c r="F108">
        <v>1538.27</v>
      </c>
      <c r="G108" t="s">
        <v>6</v>
      </c>
      <c r="H108">
        <v>40</v>
      </c>
      <c r="I108">
        <f t="shared" si="16"/>
        <v>0</v>
      </c>
      <c r="J108" s="6" t="e">
        <f t="shared" si="16"/>
        <v>#DIV/0!</v>
      </c>
      <c r="K108" s="2" t="e">
        <f>(J108*$N$3)/$N$2</f>
        <v>#DIV/0!</v>
      </c>
    </row>
    <row r="109" spans="1:11" x14ac:dyDescent="0.3">
      <c r="A109" t="s">
        <v>11</v>
      </c>
      <c r="B109">
        <v>8</v>
      </c>
      <c r="C109">
        <v>5</v>
      </c>
      <c r="D109">
        <v>0</v>
      </c>
      <c r="E109">
        <v>0</v>
      </c>
      <c r="F109">
        <v>1553.08</v>
      </c>
      <c r="G109" t="s">
        <v>6</v>
      </c>
      <c r="H109">
        <v>40</v>
      </c>
      <c r="I109">
        <f t="shared" si="16"/>
        <v>0</v>
      </c>
      <c r="J109" s="6" t="e">
        <f t="shared" si="16"/>
        <v>#DIV/0!</v>
      </c>
      <c r="K109" s="2" t="e">
        <f>(J109*$N$3)/$N$2</f>
        <v>#DIV/0!</v>
      </c>
    </row>
    <row r="110" spans="1:11" x14ac:dyDescent="0.3">
      <c r="A110" t="s">
        <v>11</v>
      </c>
      <c r="B110">
        <v>2001</v>
      </c>
      <c r="C110">
        <v>2</v>
      </c>
      <c r="D110">
        <v>0</v>
      </c>
      <c r="E110">
        <v>0</v>
      </c>
      <c r="F110">
        <v>1567.56</v>
      </c>
    </row>
    <row r="111" spans="1:11" x14ac:dyDescent="0.3">
      <c r="A111" t="s">
        <v>11</v>
      </c>
      <c r="B111">
        <v>2001</v>
      </c>
      <c r="C111">
        <v>3</v>
      </c>
      <c r="D111">
        <v>0</v>
      </c>
      <c r="E111">
        <v>0</v>
      </c>
      <c r="F111">
        <v>1581.69</v>
      </c>
    </row>
    <row r="112" spans="1:11" x14ac:dyDescent="0.3">
      <c r="A112" t="s">
        <v>11</v>
      </c>
      <c r="B112">
        <v>2001</v>
      </c>
      <c r="C112">
        <v>2</v>
      </c>
      <c r="D112">
        <v>0</v>
      </c>
      <c r="E112">
        <v>0</v>
      </c>
      <c r="F112">
        <v>1596.15</v>
      </c>
    </row>
    <row r="113" spans="1:11" x14ac:dyDescent="0.3">
      <c r="A113" t="s">
        <v>11</v>
      </c>
      <c r="B113">
        <v>2001</v>
      </c>
      <c r="C113">
        <v>3</v>
      </c>
      <c r="D113">
        <v>0</v>
      </c>
      <c r="E113">
        <v>0</v>
      </c>
      <c r="F113">
        <v>1610.36</v>
      </c>
    </row>
    <row r="114" spans="1:11" x14ac:dyDescent="0.3">
      <c r="A114" t="s">
        <v>11</v>
      </c>
      <c r="B114">
        <v>8</v>
      </c>
      <c r="C114">
        <v>7</v>
      </c>
      <c r="D114">
        <v>0</v>
      </c>
      <c r="E114">
        <v>0</v>
      </c>
      <c r="F114">
        <v>1625.21</v>
      </c>
      <c r="G114" t="s">
        <v>7</v>
      </c>
      <c r="H114">
        <v>40</v>
      </c>
      <c r="I114">
        <f t="shared" ref="I114:J116" si="17">D114/(C114+D114)</f>
        <v>0</v>
      </c>
      <c r="J114" s="6" t="e">
        <f t="shared" si="17"/>
        <v>#DIV/0!</v>
      </c>
      <c r="K114" s="2" t="e">
        <f>(J114*$N$3)/$N$2</f>
        <v>#DIV/0!</v>
      </c>
    </row>
    <row r="115" spans="1:11" x14ac:dyDescent="0.3">
      <c r="A115" t="s">
        <v>11</v>
      </c>
      <c r="B115">
        <v>8</v>
      </c>
      <c r="C115">
        <v>9</v>
      </c>
      <c r="D115">
        <v>0</v>
      </c>
      <c r="E115">
        <v>0</v>
      </c>
      <c r="F115">
        <v>1639.96</v>
      </c>
      <c r="G115" t="s">
        <v>7</v>
      </c>
      <c r="H115">
        <v>40</v>
      </c>
      <c r="I115">
        <f t="shared" si="17"/>
        <v>0</v>
      </c>
      <c r="J115" s="6" t="e">
        <f t="shared" si="17"/>
        <v>#DIV/0!</v>
      </c>
      <c r="K115" s="2" t="e">
        <f>(J115*$N$3)/$N$2</f>
        <v>#DIV/0!</v>
      </c>
    </row>
    <row r="116" spans="1:11" x14ac:dyDescent="0.3">
      <c r="A116" t="s">
        <v>11</v>
      </c>
      <c r="B116">
        <v>8</v>
      </c>
      <c r="C116">
        <v>11</v>
      </c>
      <c r="D116">
        <v>0</v>
      </c>
      <c r="E116">
        <v>0</v>
      </c>
      <c r="F116">
        <v>1654.67</v>
      </c>
      <c r="G116" t="s">
        <v>7</v>
      </c>
      <c r="H116">
        <v>40</v>
      </c>
      <c r="I116">
        <f t="shared" si="17"/>
        <v>0</v>
      </c>
      <c r="J116" s="6" t="e">
        <f t="shared" si="17"/>
        <v>#DIV/0!</v>
      </c>
      <c r="K116" s="2" t="e">
        <f>(J116*$N$3)/$N$2</f>
        <v>#DIV/0!</v>
      </c>
    </row>
    <row r="117" spans="1:11" x14ac:dyDescent="0.3">
      <c r="A117" t="s">
        <v>11</v>
      </c>
      <c r="B117">
        <v>2001</v>
      </c>
      <c r="C117">
        <v>2</v>
      </c>
      <c r="D117">
        <v>0</v>
      </c>
      <c r="E117">
        <v>0</v>
      </c>
      <c r="F117">
        <v>1669.01</v>
      </c>
    </row>
    <row r="118" spans="1:11" x14ac:dyDescent="0.3">
      <c r="A118" t="s">
        <v>11</v>
      </c>
      <c r="B118">
        <v>2001</v>
      </c>
      <c r="C118">
        <v>3</v>
      </c>
      <c r="D118">
        <v>0</v>
      </c>
      <c r="E118">
        <v>0</v>
      </c>
      <c r="F118">
        <v>1683.2</v>
      </c>
    </row>
    <row r="119" spans="1:11" x14ac:dyDescent="0.3">
      <c r="A119" t="s">
        <v>11</v>
      </c>
      <c r="B119">
        <v>2001</v>
      </c>
      <c r="C119">
        <v>2</v>
      </c>
      <c r="D119">
        <v>0</v>
      </c>
      <c r="E119">
        <v>0</v>
      </c>
      <c r="F119">
        <v>1697.64</v>
      </c>
    </row>
    <row r="120" spans="1:11" x14ac:dyDescent="0.3">
      <c r="A120" t="s">
        <v>11</v>
      </c>
      <c r="B120">
        <v>2001</v>
      </c>
      <c r="C120">
        <v>3</v>
      </c>
      <c r="D120">
        <v>0</v>
      </c>
      <c r="E120">
        <v>0</v>
      </c>
      <c r="F120">
        <v>1711.84</v>
      </c>
    </row>
    <row r="121" spans="1:11" x14ac:dyDescent="0.3">
      <c r="A121" t="s">
        <v>11</v>
      </c>
      <c r="B121">
        <v>7</v>
      </c>
      <c r="C121">
        <v>1</v>
      </c>
      <c r="D121">
        <v>10422888.8393555</v>
      </c>
      <c r="E121">
        <v>219745.80761718799</v>
      </c>
      <c r="F121">
        <v>1726.8</v>
      </c>
      <c r="G121" t="s">
        <v>6</v>
      </c>
      <c r="H121">
        <v>60</v>
      </c>
      <c r="I121">
        <f t="shared" ref="I121:J123" si="18">D121/(C121+D121)</f>
        <v>0.99999990405731853</v>
      </c>
      <c r="J121" s="6">
        <f t="shared" si="18"/>
        <v>2.0647688744975849E-2</v>
      </c>
      <c r="K121" s="2">
        <f>(J121*$N$3)/$N$2</f>
        <v>7.0905354090755435E-2</v>
      </c>
    </row>
    <row r="122" spans="1:11" x14ac:dyDescent="0.3">
      <c r="A122" t="s">
        <v>11</v>
      </c>
      <c r="B122">
        <v>7</v>
      </c>
      <c r="C122">
        <v>3</v>
      </c>
      <c r="D122">
        <v>5978837.2832031297</v>
      </c>
      <c r="E122">
        <v>75701.8681640625</v>
      </c>
      <c r="F122">
        <v>1741.74</v>
      </c>
      <c r="G122" t="s">
        <v>6</v>
      </c>
      <c r="H122">
        <v>60</v>
      </c>
      <c r="I122">
        <f t="shared" si="18"/>
        <v>0.99999949823044976</v>
      </c>
      <c r="J122" s="6">
        <f t="shared" si="18"/>
        <v>1.2503324575408526E-2</v>
      </c>
      <c r="K122" s="2">
        <f>(J122*$N$3)/$N$2</f>
        <v>4.293713777270633E-2</v>
      </c>
    </row>
    <row r="123" spans="1:11" x14ac:dyDescent="0.3">
      <c r="A123" t="s">
        <v>11</v>
      </c>
      <c r="B123">
        <v>7</v>
      </c>
      <c r="C123">
        <v>5</v>
      </c>
      <c r="D123">
        <v>8123040.82421875</v>
      </c>
      <c r="E123">
        <v>119337.650390625</v>
      </c>
      <c r="F123">
        <v>1756.55</v>
      </c>
      <c r="G123" t="s">
        <v>6</v>
      </c>
      <c r="H123">
        <v>60</v>
      </c>
      <c r="I123">
        <f t="shared" si="18"/>
        <v>0.99999938446734038</v>
      </c>
      <c r="J123" s="6">
        <f t="shared" si="18"/>
        <v>1.4478545332302358E-2</v>
      </c>
      <c r="K123" s="2">
        <f>(J123*$N$3)/$N$2</f>
        <v>4.9720159780874011E-2</v>
      </c>
    </row>
    <row r="124" spans="1:11" x14ac:dyDescent="0.3">
      <c r="A124" t="s">
        <v>11</v>
      </c>
      <c r="B124">
        <v>2001</v>
      </c>
      <c r="C124">
        <v>2</v>
      </c>
      <c r="D124">
        <v>0</v>
      </c>
      <c r="E124">
        <v>0</v>
      </c>
      <c r="F124">
        <v>1770.97</v>
      </c>
    </row>
    <row r="125" spans="1:11" x14ac:dyDescent="0.3">
      <c r="A125" t="s">
        <v>11</v>
      </c>
      <c r="B125">
        <v>2001</v>
      </c>
      <c r="C125">
        <v>3</v>
      </c>
      <c r="D125">
        <v>0</v>
      </c>
      <c r="E125">
        <v>0</v>
      </c>
      <c r="F125">
        <v>1785.16</v>
      </c>
    </row>
    <row r="126" spans="1:11" x14ac:dyDescent="0.3">
      <c r="A126" t="s">
        <v>11</v>
      </c>
      <c r="B126">
        <v>2001</v>
      </c>
      <c r="C126">
        <v>2</v>
      </c>
      <c r="D126">
        <v>0</v>
      </c>
      <c r="E126">
        <v>0</v>
      </c>
      <c r="F126">
        <v>1799.48</v>
      </c>
    </row>
    <row r="127" spans="1:11" x14ac:dyDescent="0.3">
      <c r="A127" t="s">
        <v>11</v>
      </c>
      <c r="B127">
        <v>2001</v>
      </c>
      <c r="C127">
        <v>3</v>
      </c>
      <c r="D127">
        <v>0</v>
      </c>
      <c r="E127">
        <v>0</v>
      </c>
      <c r="F127">
        <v>1813.76</v>
      </c>
    </row>
    <row r="128" spans="1:11" x14ac:dyDescent="0.3">
      <c r="A128" t="s">
        <v>11</v>
      </c>
      <c r="B128">
        <v>7</v>
      </c>
      <c r="C128">
        <v>7</v>
      </c>
      <c r="D128">
        <v>12442011.9765625</v>
      </c>
      <c r="E128">
        <v>0</v>
      </c>
      <c r="F128">
        <v>1828.68</v>
      </c>
      <c r="G128" t="s">
        <v>7</v>
      </c>
      <c r="H128">
        <v>60</v>
      </c>
      <c r="I128">
        <f t="shared" ref="I128:J130" si="19">D128/(C128+D128)</f>
        <v>0.99999943739034536</v>
      </c>
      <c r="J128" s="6">
        <f t="shared" si="19"/>
        <v>0</v>
      </c>
      <c r="K128" s="2">
        <f>(J128*$N$3)/$N$2</f>
        <v>0</v>
      </c>
    </row>
    <row r="129" spans="1:11" x14ac:dyDescent="0.3">
      <c r="A129" t="s">
        <v>11</v>
      </c>
      <c r="B129">
        <v>7</v>
      </c>
      <c r="C129">
        <v>9</v>
      </c>
      <c r="D129">
        <v>8883606.5234375</v>
      </c>
      <c r="E129">
        <v>0</v>
      </c>
      <c r="F129">
        <v>1843.38</v>
      </c>
      <c r="G129" t="s">
        <v>7</v>
      </c>
      <c r="H129">
        <v>60</v>
      </c>
      <c r="I129">
        <f t="shared" si="19"/>
        <v>0.99999898689897415</v>
      </c>
      <c r="J129" s="6">
        <f t="shared" si="19"/>
        <v>0</v>
      </c>
      <c r="K129" s="2">
        <f>(J129*$N$3)/$N$2</f>
        <v>0</v>
      </c>
    </row>
    <row r="130" spans="1:11" x14ac:dyDescent="0.3">
      <c r="A130" t="s">
        <v>11</v>
      </c>
      <c r="B130">
        <v>7</v>
      </c>
      <c r="C130">
        <v>11</v>
      </c>
      <c r="D130">
        <v>7027633.6987304697</v>
      </c>
      <c r="E130">
        <v>0</v>
      </c>
      <c r="F130">
        <v>1858.08</v>
      </c>
      <c r="G130" t="s">
        <v>7</v>
      </c>
      <c r="H130">
        <v>60</v>
      </c>
      <c r="I130">
        <f t="shared" si="19"/>
        <v>0.9999984347529689</v>
      </c>
      <c r="J130" s="6">
        <f t="shared" si="19"/>
        <v>0</v>
      </c>
      <c r="K130" s="2">
        <f>(J130*$N$3)/$N$2</f>
        <v>0</v>
      </c>
    </row>
    <row r="131" spans="1:11" x14ac:dyDescent="0.3">
      <c r="A131" t="s">
        <v>11</v>
      </c>
      <c r="B131">
        <v>2001</v>
      </c>
      <c r="C131">
        <v>2</v>
      </c>
      <c r="D131">
        <v>0</v>
      </c>
      <c r="E131">
        <v>0</v>
      </c>
      <c r="F131">
        <v>1872.52</v>
      </c>
    </row>
    <row r="132" spans="1:11" x14ac:dyDescent="0.3">
      <c r="A132" t="s">
        <v>11</v>
      </c>
      <c r="B132">
        <v>2001</v>
      </c>
      <c r="C132">
        <v>3</v>
      </c>
      <c r="D132">
        <v>0</v>
      </c>
      <c r="E132">
        <v>0</v>
      </c>
      <c r="F132">
        <v>1886.71</v>
      </c>
    </row>
    <row r="133" spans="1:11" x14ac:dyDescent="0.3">
      <c r="A133" t="s">
        <v>11</v>
      </c>
      <c r="B133">
        <v>2001</v>
      </c>
      <c r="C133">
        <v>2</v>
      </c>
      <c r="D133">
        <v>0</v>
      </c>
      <c r="E133">
        <v>0</v>
      </c>
      <c r="F133">
        <v>1901.04</v>
      </c>
    </row>
    <row r="134" spans="1:11" x14ac:dyDescent="0.3">
      <c r="A134" t="s">
        <v>11</v>
      </c>
      <c r="B134">
        <v>2001</v>
      </c>
      <c r="C134">
        <v>3</v>
      </c>
      <c r="D134">
        <v>0</v>
      </c>
      <c r="E134">
        <v>0</v>
      </c>
      <c r="F134">
        <v>1915.24</v>
      </c>
    </row>
    <row r="135" spans="1:11" x14ac:dyDescent="0.3">
      <c r="A135" t="s">
        <v>11</v>
      </c>
      <c r="B135">
        <v>6</v>
      </c>
      <c r="C135">
        <v>1</v>
      </c>
      <c r="D135">
        <v>12107.259277343799</v>
      </c>
      <c r="E135">
        <v>0</v>
      </c>
      <c r="F135">
        <v>1930.2</v>
      </c>
      <c r="G135" t="s">
        <v>6</v>
      </c>
      <c r="H135">
        <v>300</v>
      </c>
      <c r="I135">
        <f t="shared" ref="I135:J137" si="20">D135/(C135+D135)</f>
        <v>0.99991741174539672</v>
      </c>
      <c r="J135" s="6">
        <f t="shared" si="20"/>
        <v>0</v>
      </c>
      <c r="K135" s="2">
        <f>(J135*$N$3)/$N$2</f>
        <v>0</v>
      </c>
    </row>
    <row r="136" spans="1:11" x14ac:dyDescent="0.3">
      <c r="A136" t="s">
        <v>11</v>
      </c>
      <c r="B136">
        <v>6</v>
      </c>
      <c r="C136">
        <v>3</v>
      </c>
      <c r="D136">
        <v>0</v>
      </c>
      <c r="E136">
        <v>0</v>
      </c>
      <c r="F136">
        <v>1945.04</v>
      </c>
      <c r="G136" t="s">
        <v>6</v>
      </c>
      <c r="H136">
        <v>300</v>
      </c>
      <c r="I136">
        <f t="shared" si="20"/>
        <v>0</v>
      </c>
      <c r="J136" s="6" t="e">
        <f t="shared" si="20"/>
        <v>#DIV/0!</v>
      </c>
      <c r="K136" s="2" t="e">
        <f>(J136*$N$3)/$N$2</f>
        <v>#DIV/0!</v>
      </c>
    </row>
    <row r="137" spans="1:11" x14ac:dyDescent="0.3">
      <c r="A137" t="s">
        <v>11</v>
      </c>
      <c r="B137">
        <v>6</v>
      </c>
      <c r="C137">
        <v>5</v>
      </c>
      <c r="D137">
        <v>0</v>
      </c>
      <c r="E137">
        <v>0</v>
      </c>
      <c r="F137">
        <v>1960.04</v>
      </c>
      <c r="G137" t="s">
        <v>6</v>
      </c>
      <c r="H137">
        <v>300</v>
      </c>
      <c r="I137">
        <f t="shared" si="20"/>
        <v>0</v>
      </c>
      <c r="J137" s="6" t="e">
        <f t="shared" si="20"/>
        <v>#DIV/0!</v>
      </c>
      <c r="K137" s="2" t="e">
        <f>(J137*$N$3)/$N$2</f>
        <v>#DIV/0!</v>
      </c>
    </row>
    <row r="138" spans="1:11" x14ac:dyDescent="0.3">
      <c r="A138" t="s">
        <v>11</v>
      </c>
      <c r="B138">
        <v>2001</v>
      </c>
      <c r="C138">
        <v>2</v>
      </c>
      <c r="D138">
        <v>0</v>
      </c>
      <c r="E138">
        <v>0</v>
      </c>
      <c r="F138">
        <v>1974.37</v>
      </c>
    </row>
    <row r="139" spans="1:11" x14ac:dyDescent="0.3">
      <c r="A139" t="s">
        <v>11</v>
      </c>
      <c r="B139">
        <v>2001</v>
      </c>
      <c r="C139">
        <v>3</v>
      </c>
      <c r="D139">
        <v>0</v>
      </c>
      <c r="E139">
        <v>0</v>
      </c>
      <c r="F139">
        <v>1988.58</v>
      </c>
    </row>
    <row r="140" spans="1:11" x14ac:dyDescent="0.3">
      <c r="A140" t="s">
        <v>11</v>
      </c>
      <c r="B140">
        <v>2001</v>
      </c>
      <c r="C140">
        <v>2</v>
      </c>
      <c r="D140">
        <v>0</v>
      </c>
      <c r="E140">
        <v>0</v>
      </c>
      <c r="F140">
        <v>2002.99</v>
      </c>
    </row>
    <row r="141" spans="1:11" x14ac:dyDescent="0.3">
      <c r="A141" t="s">
        <v>11</v>
      </c>
      <c r="B141">
        <v>2001</v>
      </c>
      <c r="C141">
        <v>3</v>
      </c>
      <c r="D141">
        <v>0</v>
      </c>
      <c r="E141">
        <v>0</v>
      </c>
      <c r="F141">
        <v>2017.2</v>
      </c>
    </row>
    <row r="142" spans="1:11" x14ac:dyDescent="0.3">
      <c r="A142" t="s">
        <v>11</v>
      </c>
      <c r="B142">
        <v>6</v>
      </c>
      <c r="C142">
        <v>7</v>
      </c>
      <c r="D142">
        <v>0</v>
      </c>
      <c r="E142">
        <v>0</v>
      </c>
      <c r="F142">
        <v>2032.15</v>
      </c>
      <c r="G142" t="s">
        <v>7</v>
      </c>
      <c r="H142">
        <v>300</v>
      </c>
      <c r="I142">
        <f t="shared" ref="I142:J144" si="21">D142/(C142+D142)</f>
        <v>0</v>
      </c>
      <c r="J142" s="6" t="e">
        <f t="shared" si="21"/>
        <v>#DIV/0!</v>
      </c>
      <c r="K142" s="2" t="e">
        <f>(J142*$N$3)/$N$2</f>
        <v>#DIV/0!</v>
      </c>
    </row>
    <row r="143" spans="1:11" x14ac:dyDescent="0.3">
      <c r="A143" t="s">
        <v>11</v>
      </c>
      <c r="B143">
        <v>6</v>
      </c>
      <c r="C143">
        <v>9</v>
      </c>
      <c r="D143">
        <v>0</v>
      </c>
      <c r="E143">
        <v>0</v>
      </c>
      <c r="F143">
        <v>2046.86</v>
      </c>
      <c r="G143" t="s">
        <v>7</v>
      </c>
      <c r="H143">
        <v>300</v>
      </c>
      <c r="I143">
        <f t="shared" si="21"/>
        <v>0</v>
      </c>
      <c r="J143" s="6" t="e">
        <f t="shared" si="21"/>
        <v>#DIV/0!</v>
      </c>
      <c r="K143" s="2" t="e">
        <f>(J143*$N$3)/$N$2</f>
        <v>#DIV/0!</v>
      </c>
    </row>
    <row r="144" spans="1:11" x14ac:dyDescent="0.3">
      <c r="A144" t="s">
        <v>11</v>
      </c>
      <c r="B144">
        <v>6</v>
      </c>
      <c r="C144">
        <v>11</v>
      </c>
      <c r="D144">
        <v>0</v>
      </c>
      <c r="E144">
        <v>0</v>
      </c>
      <c r="F144">
        <v>2061.59</v>
      </c>
      <c r="G144" t="s">
        <v>7</v>
      </c>
      <c r="H144">
        <v>300</v>
      </c>
      <c r="I144">
        <f t="shared" si="21"/>
        <v>0</v>
      </c>
      <c r="J144" s="6" t="e">
        <f t="shared" si="21"/>
        <v>#DIV/0!</v>
      </c>
      <c r="K144" s="2" t="e">
        <f>(J144*$N$3)/$N$2</f>
        <v>#DIV/0!</v>
      </c>
    </row>
    <row r="145" spans="1:6" x14ac:dyDescent="0.3">
      <c r="A145" t="s">
        <v>11</v>
      </c>
      <c r="B145">
        <v>2001</v>
      </c>
      <c r="C145">
        <v>2</v>
      </c>
      <c r="D145">
        <v>0</v>
      </c>
      <c r="E145">
        <v>0</v>
      </c>
      <c r="F145">
        <v>2075.9299999999998</v>
      </c>
    </row>
    <row r="146" spans="1:6" x14ac:dyDescent="0.3">
      <c r="A146" t="s">
        <v>11</v>
      </c>
      <c r="B146">
        <v>2001</v>
      </c>
      <c r="C146">
        <v>3</v>
      </c>
      <c r="D146">
        <v>0</v>
      </c>
      <c r="E146">
        <v>0</v>
      </c>
      <c r="F146">
        <v>2090.0700000000002</v>
      </c>
    </row>
    <row r="147" spans="1:6" x14ac:dyDescent="0.3">
      <c r="A147" t="s">
        <v>11</v>
      </c>
      <c r="B147">
        <v>2001</v>
      </c>
      <c r="C147">
        <v>2</v>
      </c>
      <c r="D147">
        <v>0</v>
      </c>
      <c r="E147">
        <v>0</v>
      </c>
      <c r="F147">
        <v>2104.52</v>
      </c>
    </row>
    <row r="148" spans="1:6" x14ac:dyDescent="0.3">
      <c r="A148" t="s">
        <v>11</v>
      </c>
      <c r="B148">
        <v>2001</v>
      </c>
      <c r="C148">
        <v>3</v>
      </c>
      <c r="D148">
        <v>0</v>
      </c>
      <c r="E148">
        <v>0</v>
      </c>
      <c r="F148">
        <v>2118.46</v>
      </c>
    </row>
    <row r="149" spans="1:6" x14ac:dyDescent="0.3">
      <c r="A149" t="s">
        <v>11</v>
      </c>
      <c r="B149">
        <v>2001</v>
      </c>
      <c r="C149">
        <v>2</v>
      </c>
      <c r="D149">
        <v>0</v>
      </c>
      <c r="E149">
        <v>0</v>
      </c>
      <c r="F149">
        <v>2132.87</v>
      </c>
    </row>
    <row r="150" spans="1:6" x14ac:dyDescent="0.3">
      <c r="A150" t="s">
        <v>11</v>
      </c>
      <c r="B150">
        <v>2001</v>
      </c>
      <c r="C150">
        <v>3</v>
      </c>
      <c r="D150">
        <v>0</v>
      </c>
      <c r="E150">
        <v>0</v>
      </c>
      <c r="F150">
        <v>2147.12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1CC1-782E-4DD2-BD66-14077018E9BE}">
  <dimension ref="A1:S148"/>
  <sheetViews>
    <sheetView topLeftCell="O1" workbookViewId="0">
      <selection activeCell="R9" sqref="R9:S19"/>
    </sheetView>
  </sheetViews>
  <sheetFormatPr defaultRowHeight="14.4" x14ac:dyDescent="0.3"/>
  <cols>
    <col min="10" max="10" width="8.88671875" style="6"/>
    <col min="14" max="15" width="9.33203125" bestFit="1" customWidth="1"/>
    <col min="19" max="19" width="9.33203125" bestFit="1" customWidth="1"/>
  </cols>
  <sheetData>
    <row r="1" spans="1:19" x14ac:dyDescent="0.3">
      <c r="A1" t="s">
        <v>12</v>
      </c>
    </row>
    <row r="2" spans="1:19" x14ac:dyDescent="0.3">
      <c r="A2" t="s">
        <v>0</v>
      </c>
      <c r="B2" t="s">
        <v>1</v>
      </c>
      <c r="C2" t="s">
        <v>2</v>
      </c>
      <c r="D2">
        <v>1442.73</v>
      </c>
      <c r="E2">
        <v>1474.73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>
        <v>2.6208062999999999E-3</v>
      </c>
    </row>
    <row r="3" spans="1:19" x14ac:dyDescent="0.3">
      <c r="A3" t="s">
        <v>11</v>
      </c>
      <c r="B3">
        <v>2001</v>
      </c>
      <c r="C3">
        <v>2</v>
      </c>
      <c r="D3">
        <v>0</v>
      </c>
      <c r="E3">
        <v>0</v>
      </c>
      <c r="F3">
        <v>5.49</v>
      </c>
      <c r="M3" t="s">
        <v>15</v>
      </c>
      <c r="N3" s="2">
        <v>8.9999999999999993E-3</v>
      </c>
      <c r="O3" s="2"/>
    </row>
    <row r="4" spans="1:19" x14ac:dyDescent="0.3">
      <c r="A4" t="s">
        <v>11</v>
      </c>
      <c r="B4">
        <v>2001</v>
      </c>
      <c r="C4">
        <v>3</v>
      </c>
      <c r="D4">
        <v>0</v>
      </c>
      <c r="E4">
        <v>0</v>
      </c>
      <c r="F4">
        <v>19.78</v>
      </c>
    </row>
    <row r="5" spans="1:19" x14ac:dyDescent="0.3">
      <c r="A5" t="s">
        <v>11</v>
      </c>
      <c r="B5">
        <v>2001</v>
      </c>
      <c r="C5">
        <v>2</v>
      </c>
      <c r="D5">
        <v>0</v>
      </c>
      <c r="E5">
        <v>0</v>
      </c>
      <c r="F5">
        <v>34.090000000000003</v>
      </c>
    </row>
    <row r="6" spans="1:19" x14ac:dyDescent="0.3">
      <c r="A6" t="s">
        <v>11</v>
      </c>
      <c r="B6">
        <v>2001</v>
      </c>
      <c r="C6">
        <v>3</v>
      </c>
      <c r="D6">
        <v>0</v>
      </c>
      <c r="E6">
        <v>0</v>
      </c>
      <c r="F6">
        <v>48.4</v>
      </c>
    </row>
    <row r="7" spans="1:19" ht="15.6" x14ac:dyDescent="0.3">
      <c r="A7" t="s">
        <v>11</v>
      </c>
      <c r="B7">
        <v>16</v>
      </c>
      <c r="C7">
        <v>14</v>
      </c>
      <c r="D7">
        <v>3511395.7988281301</v>
      </c>
      <c r="E7">
        <v>0</v>
      </c>
      <c r="F7">
        <v>63.24</v>
      </c>
      <c r="G7" t="s">
        <v>6</v>
      </c>
      <c r="H7">
        <v>0</v>
      </c>
      <c r="I7">
        <f t="shared" ref="I7:J9" si="0">D7/(C7+D7)</f>
        <v>0.99999601299739926</v>
      </c>
      <c r="J7" s="6">
        <f t="shared" si="0"/>
        <v>0</v>
      </c>
      <c r="K7" s="2">
        <f>(J7*$N$3)/$N$2</f>
        <v>0</v>
      </c>
      <c r="M7" s="3"/>
      <c r="N7" s="4" t="s">
        <v>17</v>
      </c>
      <c r="O7" s="3"/>
      <c r="Q7" s="3"/>
      <c r="R7" s="4" t="s">
        <v>17</v>
      </c>
      <c r="S7" s="3"/>
    </row>
    <row r="8" spans="1:19" ht="15.6" x14ac:dyDescent="0.3">
      <c r="A8" t="s">
        <v>11</v>
      </c>
      <c r="B8">
        <v>16</v>
      </c>
      <c r="C8">
        <v>16</v>
      </c>
      <c r="D8">
        <v>3319217.1796875</v>
      </c>
      <c r="E8">
        <v>0</v>
      </c>
      <c r="F8">
        <v>78.099999999999994</v>
      </c>
      <c r="G8" t="s">
        <v>6</v>
      </c>
      <c r="H8">
        <v>0</v>
      </c>
      <c r="I8">
        <f t="shared" si="0"/>
        <v>0.99999517960952611</v>
      </c>
      <c r="J8" s="6">
        <f t="shared" si="0"/>
        <v>0</v>
      </c>
      <c r="K8" s="2">
        <f>(J8*$N$3)/$N$2</f>
        <v>0</v>
      </c>
      <c r="M8" s="4" t="s">
        <v>18</v>
      </c>
      <c r="N8" s="4" t="s">
        <v>13</v>
      </c>
      <c r="O8" s="3" t="s">
        <v>19</v>
      </c>
      <c r="Q8" s="4" t="s">
        <v>18</v>
      </c>
      <c r="R8" s="4" t="s">
        <v>20</v>
      </c>
      <c r="S8" s="3" t="s">
        <v>19</v>
      </c>
    </row>
    <row r="9" spans="1:19" ht="15.6" x14ac:dyDescent="0.3">
      <c r="A9" t="s">
        <v>11</v>
      </c>
      <c r="B9">
        <v>16</v>
      </c>
      <c r="C9">
        <v>18</v>
      </c>
      <c r="D9">
        <v>3233791.73828125</v>
      </c>
      <c r="E9">
        <v>0</v>
      </c>
      <c r="F9">
        <v>93.08</v>
      </c>
      <c r="G9" t="s">
        <v>6</v>
      </c>
      <c r="H9">
        <v>0</v>
      </c>
      <c r="I9">
        <f t="shared" si="0"/>
        <v>0.99999443380982289</v>
      </c>
      <c r="J9" s="6">
        <f t="shared" si="0"/>
        <v>0</v>
      </c>
      <c r="K9" s="2">
        <f>(J9*$N$3)/$N$2</f>
        <v>0</v>
      </c>
      <c r="M9" s="3">
        <v>0</v>
      </c>
      <c r="N9" s="5">
        <f>AVERAGE(K7:K9)</f>
        <v>0</v>
      </c>
      <c r="O9" s="5">
        <f>STDEV(K7:K9)</f>
        <v>0</v>
      </c>
      <c r="Q9" s="3">
        <v>0</v>
      </c>
      <c r="R9" s="7">
        <f>AVERAGE(J7:J9)</f>
        <v>0</v>
      </c>
      <c r="S9" s="5">
        <f>STDEV(J7:J9)</f>
        <v>0</v>
      </c>
    </row>
    <row r="10" spans="1:19" ht="15.6" x14ac:dyDescent="0.3">
      <c r="A10" t="s">
        <v>11</v>
      </c>
      <c r="B10">
        <v>2001</v>
      </c>
      <c r="C10">
        <v>2</v>
      </c>
      <c r="D10">
        <v>0</v>
      </c>
      <c r="E10">
        <v>0</v>
      </c>
      <c r="F10">
        <v>107.5</v>
      </c>
      <c r="M10" s="3">
        <v>0.5</v>
      </c>
      <c r="N10" s="5">
        <f>AVERAGE(K19:K21)</f>
        <v>6.6556048422473707E-3</v>
      </c>
      <c r="O10" s="5">
        <f>STDEV(K19:K21)</f>
        <v>3.3245518483059522E-3</v>
      </c>
      <c r="Q10" s="3">
        <v>0.5</v>
      </c>
      <c r="R10" s="7">
        <f>AVERAGE(J19:J21)</f>
        <v>1.9381167889858237E-3</v>
      </c>
      <c r="S10" s="5">
        <f>STDEV(J19:J21)</f>
        <v>9.6811182541298732E-4</v>
      </c>
    </row>
    <row r="11" spans="1:19" ht="15.6" x14ac:dyDescent="0.3">
      <c r="A11" t="s">
        <v>11</v>
      </c>
      <c r="B11">
        <v>2001</v>
      </c>
      <c r="C11">
        <v>3</v>
      </c>
      <c r="D11">
        <v>0</v>
      </c>
      <c r="E11">
        <v>0</v>
      </c>
      <c r="F11">
        <v>121.71</v>
      </c>
      <c r="M11" s="3">
        <v>1</v>
      </c>
      <c r="N11" s="5">
        <f>AVERAGE(K31:K33)</f>
        <v>8.6624492225849378E-2</v>
      </c>
      <c r="O11" s="5">
        <f>STDEV(K31:K33)</f>
        <v>1.9198201277038324E-3</v>
      </c>
      <c r="Q11" s="3">
        <v>1</v>
      </c>
      <c r="R11" s="7">
        <f>AVERAGE(J31:J33)</f>
        <v>2.5225112773311895E-2</v>
      </c>
      <c r="S11" s="5">
        <f>STDEV(J31:J33)</f>
        <v>5.5905296506144632E-4</v>
      </c>
    </row>
    <row r="12" spans="1:19" ht="15.6" x14ac:dyDescent="0.3">
      <c r="A12" t="s">
        <v>11</v>
      </c>
      <c r="B12">
        <v>16</v>
      </c>
      <c r="C12">
        <v>20</v>
      </c>
      <c r="D12">
        <v>4420891.7910156297</v>
      </c>
      <c r="E12">
        <v>0</v>
      </c>
      <c r="F12">
        <v>136.58000000000001</v>
      </c>
      <c r="G12" t="s">
        <v>7</v>
      </c>
      <c r="H12">
        <v>0</v>
      </c>
      <c r="I12">
        <f t="shared" ref="I12:J14" si="1">D12/(C12+D12)</f>
        <v>0.99999547604635752</v>
      </c>
      <c r="J12" s="6">
        <f t="shared" si="1"/>
        <v>0</v>
      </c>
      <c r="K12" s="2">
        <f>(J12*$N$3)/$N$2</f>
        <v>0</v>
      </c>
      <c r="M12" s="3">
        <v>1.5</v>
      </c>
      <c r="N12" s="5">
        <f>AVERAGE(K43:K45)</f>
        <v>0.12341102123192231</v>
      </c>
      <c r="O12" s="5">
        <f>STDEV(K43:K45)</f>
        <v>9.637395089354862E-3</v>
      </c>
      <c r="Q12" s="3">
        <v>1.5</v>
      </c>
      <c r="R12" s="7">
        <f>AVERAGE(J43:J45)</f>
        <v>3.5937375770450641E-2</v>
      </c>
      <c r="S12" s="5">
        <f>STDEV(J43:J45)</f>
        <v>2.8064161961966982E-3</v>
      </c>
    </row>
    <row r="13" spans="1:19" ht="15.6" x14ac:dyDescent="0.3">
      <c r="A13" t="s">
        <v>11</v>
      </c>
      <c r="B13">
        <v>16</v>
      </c>
      <c r="C13">
        <v>22</v>
      </c>
      <c r="D13">
        <v>4800788.3798828097</v>
      </c>
      <c r="E13">
        <v>0</v>
      </c>
      <c r="F13">
        <v>151.54</v>
      </c>
      <c r="G13" t="s">
        <v>7</v>
      </c>
      <c r="H13">
        <v>0</v>
      </c>
      <c r="I13">
        <f t="shared" si="1"/>
        <v>0.99999541744033627</v>
      </c>
      <c r="J13" s="6">
        <f t="shared" si="1"/>
        <v>0</v>
      </c>
      <c r="K13" s="2">
        <f>(J13*$N$3)/$N$2</f>
        <v>0</v>
      </c>
      <c r="M13" s="3">
        <v>3</v>
      </c>
      <c r="N13" s="5">
        <f>AVERAGE(K55:K57)</f>
        <v>0.24203714321519432</v>
      </c>
      <c r="O13" s="5">
        <f>STDEV(K55:K57)</f>
        <v>2.3497310646860614E-2</v>
      </c>
      <c r="Q13" s="3">
        <v>3</v>
      </c>
      <c r="R13" s="7">
        <f>AVERAGE(J55:J57)</f>
        <v>7.048138553026484E-2</v>
      </c>
      <c r="S13" s="5">
        <f>STDEV(J55:J57)</f>
        <v>6.8424333084832669E-3</v>
      </c>
    </row>
    <row r="14" spans="1:19" ht="15.6" x14ac:dyDescent="0.3">
      <c r="A14" t="s">
        <v>11</v>
      </c>
      <c r="B14">
        <v>16</v>
      </c>
      <c r="C14">
        <v>24</v>
      </c>
      <c r="D14">
        <v>4121004.3515625</v>
      </c>
      <c r="E14">
        <v>0</v>
      </c>
      <c r="F14">
        <v>166.37</v>
      </c>
      <c r="G14" t="s">
        <v>7</v>
      </c>
      <c r="H14">
        <v>0</v>
      </c>
      <c r="I14">
        <f t="shared" si="1"/>
        <v>0.9999941762108987</v>
      </c>
      <c r="J14" s="6">
        <f t="shared" si="1"/>
        <v>0</v>
      </c>
      <c r="K14" s="2">
        <f>(J14*$N$3)/$N$2</f>
        <v>0</v>
      </c>
      <c r="M14" s="3">
        <v>5</v>
      </c>
      <c r="N14" s="5">
        <f>AVERAGE(K67:K69)</f>
        <v>0.37279101131505565</v>
      </c>
      <c r="O14" s="5">
        <f>STDEV(K67:K69)</f>
        <v>2.9758391243923685E-2</v>
      </c>
      <c r="Q14" s="3">
        <v>5</v>
      </c>
      <c r="R14" s="7">
        <f>AVERAGE(J67:J69)</f>
        <v>0.10855700344865214</v>
      </c>
      <c r="S14" s="5">
        <f>STDEV(J67:J69)</f>
        <v>8.6656643611044554E-3</v>
      </c>
    </row>
    <row r="15" spans="1:19" ht="15.6" x14ac:dyDescent="0.3">
      <c r="A15" t="s">
        <v>11</v>
      </c>
      <c r="B15">
        <v>2001</v>
      </c>
      <c r="C15">
        <v>2</v>
      </c>
      <c r="D15">
        <v>0</v>
      </c>
      <c r="E15">
        <v>0</v>
      </c>
      <c r="F15">
        <v>180.8</v>
      </c>
      <c r="M15" s="3">
        <v>10</v>
      </c>
      <c r="N15" s="5">
        <f>AVERAGE(K79:K81)</f>
        <v>0.59303136735290785</v>
      </c>
      <c r="O15" s="5">
        <f>STDEV(K79:K81)</f>
        <v>4.1750010074188146E-2</v>
      </c>
      <c r="Q15" s="3">
        <v>10</v>
      </c>
      <c r="R15" s="7">
        <f>AVERAGE(J79:J81)</f>
        <v>0.17269114929512394</v>
      </c>
      <c r="S15" s="5">
        <f>STDEV(J79:J81)</f>
        <v>1.2157632158610649E-2</v>
      </c>
    </row>
    <row r="16" spans="1:19" ht="15.6" x14ac:dyDescent="0.3">
      <c r="A16" t="s">
        <v>11</v>
      </c>
      <c r="B16">
        <v>2001</v>
      </c>
      <c r="C16">
        <v>3</v>
      </c>
      <c r="D16">
        <v>0</v>
      </c>
      <c r="E16">
        <v>0</v>
      </c>
      <c r="F16">
        <v>194.98</v>
      </c>
      <c r="M16" s="3">
        <v>20</v>
      </c>
      <c r="N16" s="5">
        <f>AVERAGE(K91:K93)</f>
        <v>1.075879483537225</v>
      </c>
      <c r="O16" s="5">
        <f>STDEV(K91:K93)</f>
        <v>6.6507885768155944E-2</v>
      </c>
      <c r="Q16" s="3">
        <v>20</v>
      </c>
      <c r="R16" s="7">
        <f>AVERAGE(J91:J93)</f>
        <v>0.3132968587216784</v>
      </c>
      <c r="S16" s="5">
        <f>STDEV(J91:J93)</f>
        <v>1.9367142891207018E-2</v>
      </c>
    </row>
    <row r="17" spans="1:19" ht="15.6" x14ac:dyDescent="0.3">
      <c r="A17" t="s">
        <v>11</v>
      </c>
      <c r="B17">
        <v>2001</v>
      </c>
      <c r="C17">
        <v>2</v>
      </c>
      <c r="D17">
        <v>0</v>
      </c>
      <c r="E17">
        <v>0</v>
      </c>
      <c r="F17">
        <v>209.44</v>
      </c>
      <c r="M17" s="3">
        <v>40</v>
      </c>
      <c r="N17" s="5">
        <f>AVERAGE(K103:K105)</f>
        <v>1.7584770243367218</v>
      </c>
      <c r="O17" s="5">
        <f>STDEV(K105:K107)</f>
        <v>9.6586709565055856E-2</v>
      </c>
      <c r="Q17" s="3">
        <v>40</v>
      </c>
      <c r="R17" s="7">
        <f>AVERAGE(J103:J105)</f>
        <v>0.51206974042077047</v>
      </c>
      <c r="S17" s="5">
        <f>STDEV(J105:J107)</f>
        <v>2.8126117436040942E-2</v>
      </c>
    </row>
    <row r="18" spans="1:19" ht="15.6" x14ac:dyDescent="0.3">
      <c r="A18" t="s">
        <v>11</v>
      </c>
      <c r="B18">
        <v>2001</v>
      </c>
      <c r="C18">
        <v>3</v>
      </c>
      <c r="D18">
        <v>0</v>
      </c>
      <c r="E18">
        <v>0</v>
      </c>
      <c r="F18">
        <v>223.62</v>
      </c>
      <c r="M18" s="3">
        <v>60</v>
      </c>
      <c r="N18" s="5">
        <f>AVERAGE(K119:K121)</f>
        <v>2.4676293436266961</v>
      </c>
      <c r="O18" s="5">
        <f>STDEV(K119:K121)</f>
        <v>0.12165771903041152</v>
      </c>
      <c r="Q18" s="3">
        <v>60</v>
      </c>
      <c r="R18" s="7">
        <f>AVERAGE(J119:J121)</f>
        <v>0.7185753922046344</v>
      </c>
      <c r="S18" s="5">
        <f>STDEV(J119:J121)</f>
        <v>3.5426812942059197E-2</v>
      </c>
    </row>
    <row r="19" spans="1:19" ht="15.6" x14ac:dyDescent="0.3">
      <c r="A19" t="s">
        <v>11</v>
      </c>
      <c r="B19">
        <v>15</v>
      </c>
      <c r="C19">
        <v>14</v>
      </c>
      <c r="D19">
        <v>14093004.6210938</v>
      </c>
      <c r="E19">
        <v>11946.746582031299</v>
      </c>
      <c r="F19">
        <v>238.47</v>
      </c>
      <c r="G19" t="s">
        <v>6</v>
      </c>
      <c r="H19">
        <v>0.5</v>
      </c>
      <c r="I19">
        <f t="shared" ref="I19:J21" si="2">D19/(C19+D19)</f>
        <v>0.99999900660033336</v>
      </c>
      <c r="J19" s="6">
        <f t="shared" si="2"/>
        <v>8.4698956207743703E-4</v>
      </c>
      <c r="K19" s="2">
        <f>(J19*$N$3)/$N$2</f>
        <v>2.9086110097861612E-3</v>
      </c>
      <c r="M19" s="3">
        <v>300</v>
      </c>
      <c r="N19" s="5">
        <f>AVERAGE(K133:K135)</f>
        <v>3.3708197217935907</v>
      </c>
      <c r="O19" s="5">
        <f>STDEV(K133:K135)</f>
        <v>9.0236324040293518E-3</v>
      </c>
      <c r="Q19" s="3">
        <v>300</v>
      </c>
      <c r="R19" s="7">
        <f>AVERAGE(J133:J134)</f>
        <v>0.98307924314241868</v>
      </c>
      <c r="S19" s="5">
        <f>STDEV(J133:J135)</f>
        <v>2.6276880725960693E-3</v>
      </c>
    </row>
    <row r="20" spans="1:19" x14ac:dyDescent="0.3">
      <c r="A20" t="s">
        <v>11</v>
      </c>
      <c r="B20">
        <v>15</v>
      </c>
      <c r="C20">
        <v>16</v>
      </c>
      <c r="D20">
        <v>16517607.9492188</v>
      </c>
      <c r="E20">
        <v>44622.079589843801</v>
      </c>
      <c r="F20">
        <v>253.42</v>
      </c>
      <c r="G20" t="s">
        <v>6</v>
      </c>
      <c r="H20">
        <v>0.5</v>
      </c>
      <c r="I20">
        <f t="shared" si="2"/>
        <v>0.99999903133767609</v>
      </c>
      <c r="J20" s="6">
        <f t="shared" si="2"/>
        <v>2.6942072119652575E-3</v>
      </c>
      <c r="K20" s="2">
        <f>(J20*$N$3)/$N$2</f>
        <v>9.2520629653886736E-3</v>
      </c>
    </row>
    <row r="21" spans="1:19" x14ac:dyDescent="0.3">
      <c r="A21" t="s">
        <v>11</v>
      </c>
      <c r="B21">
        <v>15</v>
      </c>
      <c r="C21">
        <v>18</v>
      </c>
      <c r="D21">
        <v>16375964.025390601</v>
      </c>
      <c r="E21">
        <v>37309.892578125</v>
      </c>
      <c r="F21">
        <v>268.33999999999997</v>
      </c>
      <c r="G21" t="s">
        <v>6</v>
      </c>
      <c r="H21">
        <v>0.5</v>
      </c>
      <c r="I21">
        <f t="shared" si="2"/>
        <v>0.99999890082927712</v>
      </c>
      <c r="J21" s="6">
        <f t="shared" si="2"/>
        <v>2.2731535929147767E-3</v>
      </c>
      <c r="K21" s="2">
        <f>(J21*$N$3)/$N$2</f>
        <v>7.806140551567275E-3</v>
      </c>
    </row>
    <row r="22" spans="1:19" x14ac:dyDescent="0.3">
      <c r="A22" t="s">
        <v>11</v>
      </c>
      <c r="B22">
        <v>2001</v>
      </c>
      <c r="C22">
        <v>2</v>
      </c>
      <c r="D22">
        <v>51982.952636718801</v>
      </c>
      <c r="E22">
        <v>0</v>
      </c>
      <c r="F22">
        <v>282.77999999999997</v>
      </c>
    </row>
    <row r="23" spans="1:19" x14ac:dyDescent="0.3">
      <c r="A23" t="s">
        <v>11</v>
      </c>
      <c r="B23">
        <v>2001</v>
      </c>
      <c r="C23">
        <v>3</v>
      </c>
      <c r="D23">
        <v>0</v>
      </c>
      <c r="E23">
        <v>0</v>
      </c>
      <c r="F23">
        <v>296.95999999999998</v>
      </c>
    </row>
    <row r="24" spans="1:19" x14ac:dyDescent="0.3">
      <c r="A24" t="s">
        <v>11</v>
      </c>
      <c r="B24">
        <v>15</v>
      </c>
      <c r="C24">
        <v>20</v>
      </c>
      <c r="D24">
        <v>20109088.275390599</v>
      </c>
      <c r="E24">
        <v>0</v>
      </c>
      <c r="F24">
        <v>311.8</v>
      </c>
      <c r="G24" t="s">
        <v>7</v>
      </c>
      <c r="H24">
        <v>0.5</v>
      </c>
      <c r="I24">
        <f t="shared" ref="I24:J26" si="3">D24/(C24+D24)</f>
        <v>0.99999900542581366</v>
      </c>
      <c r="J24" s="6">
        <f t="shared" si="3"/>
        <v>0</v>
      </c>
      <c r="K24" s="2">
        <f>(J24*$N$3)/$N$2</f>
        <v>0</v>
      </c>
    </row>
    <row r="25" spans="1:19" x14ac:dyDescent="0.3">
      <c r="A25" t="s">
        <v>11</v>
      </c>
      <c r="B25">
        <v>15</v>
      </c>
      <c r="C25">
        <v>22</v>
      </c>
      <c r="D25">
        <v>18285051.418457001</v>
      </c>
      <c r="E25">
        <v>0</v>
      </c>
      <c r="F25">
        <v>326.73</v>
      </c>
      <c r="G25" t="s">
        <v>7</v>
      </c>
      <c r="H25">
        <v>0.5</v>
      </c>
      <c r="I25">
        <f t="shared" si="3"/>
        <v>0.9999987968328321</v>
      </c>
      <c r="J25" s="6">
        <f t="shared" si="3"/>
        <v>0</v>
      </c>
      <c r="K25" s="2">
        <f>(J25*$N$3)/$N$2</f>
        <v>0</v>
      </c>
    </row>
    <row r="26" spans="1:19" x14ac:dyDescent="0.3">
      <c r="A26" t="s">
        <v>11</v>
      </c>
      <c r="B26">
        <v>15</v>
      </c>
      <c r="C26">
        <v>24</v>
      </c>
      <c r="D26">
        <v>19830796.5942383</v>
      </c>
      <c r="E26">
        <v>0</v>
      </c>
      <c r="F26">
        <v>341.67</v>
      </c>
      <c r="G26" t="s">
        <v>7</v>
      </c>
      <c r="H26">
        <v>0.5</v>
      </c>
      <c r="I26">
        <f t="shared" si="3"/>
        <v>0.99999878976263812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11</v>
      </c>
      <c r="B27">
        <v>2001</v>
      </c>
      <c r="C27">
        <v>2</v>
      </c>
      <c r="D27">
        <v>73736.578125</v>
      </c>
      <c r="E27">
        <v>0</v>
      </c>
      <c r="F27">
        <v>356.1</v>
      </c>
    </row>
    <row r="28" spans="1:19" x14ac:dyDescent="0.3">
      <c r="A28" t="s">
        <v>11</v>
      </c>
      <c r="B28">
        <v>2001</v>
      </c>
      <c r="C28">
        <v>3</v>
      </c>
      <c r="D28">
        <v>0</v>
      </c>
      <c r="E28">
        <v>0</v>
      </c>
      <c r="F28">
        <v>370.29</v>
      </c>
    </row>
    <row r="29" spans="1:19" x14ac:dyDescent="0.3">
      <c r="A29" t="s">
        <v>11</v>
      </c>
      <c r="B29">
        <v>2001</v>
      </c>
      <c r="C29">
        <v>2</v>
      </c>
      <c r="D29">
        <v>0</v>
      </c>
      <c r="E29">
        <v>0</v>
      </c>
      <c r="F29">
        <v>384.58</v>
      </c>
    </row>
    <row r="30" spans="1:19" x14ac:dyDescent="0.3">
      <c r="A30" t="s">
        <v>11</v>
      </c>
      <c r="B30">
        <v>2001</v>
      </c>
      <c r="C30">
        <v>3</v>
      </c>
      <c r="D30">
        <v>0</v>
      </c>
      <c r="E30">
        <v>0</v>
      </c>
      <c r="F30">
        <v>398.88</v>
      </c>
    </row>
    <row r="31" spans="1:19" x14ac:dyDescent="0.3">
      <c r="A31" t="s">
        <v>11</v>
      </c>
      <c r="B31">
        <v>14</v>
      </c>
      <c r="C31">
        <v>14</v>
      </c>
      <c r="D31">
        <v>5218565.2871093797</v>
      </c>
      <c r="E31">
        <v>132110.96484375</v>
      </c>
      <c r="F31">
        <v>413.77</v>
      </c>
      <c r="G31" t="s">
        <v>6</v>
      </c>
      <c r="H31">
        <v>1</v>
      </c>
      <c r="I31">
        <f t="shared" ref="I31:J33" si="4">D31/(C31+D31)</f>
        <v>0.99999731727751373</v>
      </c>
      <c r="J31" s="6">
        <f t="shared" si="4"/>
        <v>2.4690517351993818E-2</v>
      </c>
      <c r="K31" s="2">
        <f>(J31*$N$3)/$N$2</f>
        <v>8.4788660714049849E-2</v>
      </c>
    </row>
    <row r="32" spans="1:19" x14ac:dyDescent="0.3">
      <c r="A32" t="s">
        <v>11</v>
      </c>
      <c r="B32">
        <v>14</v>
      </c>
      <c r="C32">
        <v>16</v>
      </c>
      <c r="D32">
        <v>9122386.8564453106</v>
      </c>
      <c r="E32">
        <v>235625.8515625</v>
      </c>
      <c r="F32">
        <v>428.61</v>
      </c>
      <c r="G32" t="s">
        <v>6</v>
      </c>
      <c r="H32">
        <v>1</v>
      </c>
      <c r="I32">
        <f t="shared" si="4"/>
        <v>0.99999824607614329</v>
      </c>
      <c r="J32" s="6">
        <f t="shared" si="4"/>
        <v>2.5179048043060568E-2</v>
      </c>
      <c r="K32" s="2">
        <f>(J32*$N$3)/$N$2</f>
        <v>8.6466303285193225E-2</v>
      </c>
    </row>
    <row r="33" spans="1:11" x14ac:dyDescent="0.3">
      <c r="A33" t="s">
        <v>11</v>
      </c>
      <c r="B33">
        <v>14</v>
      </c>
      <c r="C33">
        <v>18</v>
      </c>
      <c r="D33">
        <v>8917996.8315429706</v>
      </c>
      <c r="E33">
        <v>236231.94921875</v>
      </c>
      <c r="F33">
        <v>443.45</v>
      </c>
      <c r="G33" t="s">
        <v>6</v>
      </c>
      <c r="H33">
        <v>1</v>
      </c>
      <c r="I33">
        <f t="shared" si="4"/>
        <v>0.99999798161358333</v>
      </c>
      <c r="J33" s="6">
        <f t="shared" si="4"/>
        <v>2.5805772924881305E-2</v>
      </c>
      <c r="K33" s="2">
        <f>(J33*$N$3)/$N$2</f>
        <v>8.8618512678305034E-2</v>
      </c>
    </row>
    <row r="34" spans="1:11" x14ac:dyDescent="0.3">
      <c r="A34" t="s">
        <v>11</v>
      </c>
      <c r="B34">
        <v>2001</v>
      </c>
      <c r="C34">
        <v>2</v>
      </c>
      <c r="D34">
        <v>0</v>
      </c>
      <c r="E34">
        <v>0</v>
      </c>
      <c r="F34">
        <v>457.99</v>
      </c>
    </row>
    <row r="35" spans="1:11" x14ac:dyDescent="0.3">
      <c r="A35" t="s">
        <v>11</v>
      </c>
      <c r="B35">
        <v>2001</v>
      </c>
      <c r="C35">
        <v>3</v>
      </c>
      <c r="D35">
        <v>0</v>
      </c>
      <c r="E35">
        <v>0</v>
      </c>
      <c r="F35">
        <v>472.13</v>
      </c>
    </row>
    <row r="36" spans="1:11" x14ac:dyDescent="0.3">
      <c r="A36" t="s">
        <v>11</v>
      </c>
      <c r="B36">
        <v>14</v>
      </c>
      <c r="C36">
        <v>20</v>
      </c>
      <c r="D36">
        <v>14584146.075683599</v>
      </c>
      <c r="E36">
        <v>0</v>
      </c>
      <c r="F36">
        <v>487.11</v>
      </c>
      <c r="G36" t="s">
        <v>7</v>
      </c>
      <c r="H36">
        <v>1</v>
      </c>
      <c r="I36">
        <f t="shared" ref="I36:J38" si="5">D36/(C36+D36)</f>
        <v>0.99999862864973588</v>
      </c>
      <c r="J36" s="6">
        <f t="shared" si="5"/>
        <v>0</v>
      </c>
      <c r="K36" s="2">
        <f>(J36*$N$3)/$N$2</f>
        <v>0</v>
      </c>
    </row>
    <row r="37" spans="1:11" x14ac:dyDescent="0.3">
      <c r="A37" t="s">
        <v>11</v>
      </c>
      <c r="B37">
        <v>14</v>
      </c>
      <c r="C37">
        <v>22</v>
      </c>
      <c r="D37">
        <v>14414001.1328125</v>
      </c>
      <c r="E37">
        <v>0</v>
      </c>
      <c r="F37">
        <v>501.95</v>
      </c>
      <c r="G37" t="s">
        <v>7</v>
      </c>
      <c r="H37">
        <v>1</v>
      </c>
      <c r="I37">
        <f t="shared" si="5"/>
        <v>0.99999847370856854</v>
      </c>
      <c r="J37" s="6">
        <f t="shared" si="5"/>
        <v>0</v>
      </c>
      <c r="K37" s="2">
        <f>(J37*$N$3)/$N$2</f>
        <v>0</v>
      </c>
    </row>
    <row r="38" spans="1:11" x14ac:dyDescent="0.3">
      <c r="A38" t="s">
        <v>11</v>
      </c>
      <c r="B38">
        <v>14</v>
      </c>
      <c r="C38">
        <v>24</v>
      </c>
      <c r="D38">
        <v>13597060.666015601</v>
      </c>
      <c r="E38">
        <v>0</v>
      </c>
      <c r="F38">
        <v>516.85</v>
      </c>
      <c r="G38" t="s">
        <v>7</v>
      </c>
      <c r="H38">
        <v>1</v>
      </c>
      <c r="I38">
        <f t="shared" si="5"/>
        <v>0.99999823491574924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11</v>
      </c>
      <c r="B39">
        <v>2001</v>
      </c>
      <c r="C39">
        <v>2</v>
      </c>
      <c r="D39">
        <v>0</v>
      </c>
      <c r="E39">
        <v>0</v>
      </c>
      <c r="F39">
        <v>531.30999999999995</v>
      </c>
    </row>
    <row r="40" spans="1:11" x14ac:dyDescent="0.3">
      <c r="A40" t="s">
        <v>11</v>
      </c>
      <c r="B40">
        <v>2001</v>
      </c>
      <c r="C40">
        <v>3</v>
      </c>
      <c r="D40">
        <v>0</v>
      </c>
      <c r="E40">
        <v>0</v>
      </c>
      <c r="F40">
        <v>545.51</v>
      </c>
    </row>
    <row r="41" spans="1:11" x14ac:dyDescent="0.3">
      <c r="A41" t="s">
        <v>11</v>
      </c>
      <c r="B41">
        <v>2001</v>
      </c>
      <c r="C41">
        <v>2</v>
      </c>
      <c r="D41">
        <v>0</v>
      </c>
      <c r="E41">
        <v>0</v>
      </c>
      <c r="F41">
        <v>559.82000000000005</v>
      </c>
    </row>
    <row r="42" spans="1:11" x14ac:dyDescent="0.3">
      <c r="A42" t="s">
        <v>11</v>
      </c>
      <c r="B42">
        <v>2001</v>
      </c>
      <c r="C42">
        <v>3</v>
      </c>
      <c r="D42">
        <v>0</v>
      </c>
      <c r="E42">
        <v>0</v>
      </c>
      <c r="F42">
        <v>574</v>
      </c>
    </row>
    <row r="43" spans="1:11" x14ac:dyDescent="0.3">
      <c r="A43" t="s">
        <v>11</v>
      </c>
      <c r="B43">
        <v>13</v>
      </c>
      <c r="C43">
        <v>14</v>
      </c>
      <c r="D43">
        <v>4587526.20947266</v>
      </c>
      <c r="E43">
        <v>160216.880859375</v>
      </c>
      <c r="F43">
        <v>588.87</v>
      </c>
      <c r="G43" t="s">
        <v>6</v>
      </c>
      <c r="H43">
        <v>1.5</v>
      </c>
      <c r="I43">
        <f t="shared" ref="I43:J45" si="6">D43/(C43+D43)</f>
        <v>0.99999694825563135</v>
      </c>
      <c r="J43" s="6">
        <f t="shared" si="6"/>
        <v>3.3745903645382415E-2</v>
      </c>
      <c r="K43" s="2">
        <f>(J43*$N$3)/$N$2</f>
        <v>0.11588537955225524</v>
      </c>
    </row>
    <row r="44" spans="1:11" x14ac:dyDescent="0.3">
      <c r="A44" t="s">
        <v>11</v>
      </c>
      <c r="B44">
        <v>13</v>
      </c>
      <c r="C44">
        <v>16</v>
      </c>
      <c r="D44">
        <v>7975049.0268554697</v>
      </c>
      <c r="E44">
        <v>324517.11669921898</v>
      </c>
      <c r="F44">
        <v>603.84</v>
      </c>
      <c r="G44" t="s">
        <v>6</v>
      </c>
      <c r="H44">
        <v>1.5</v>
      </c>
      <c r="I44">
        <f t="shared" si="6"/>
        <v>0.99999799374676623</v>
      </c>
      <c r="J44" s="6">
        <f t="shared" si="6"/>
        <v>3.9100491650546555E-2</v>
      </c>
      <c r="K44" s="2">
        <f>(J44*$N$3)/$N$2</f>
        <v>0.13427334360991081</v>
      </c>
    </row>
    <row r="45" spans="1:11" x14ac:dyDescent="0.3">
      <c r="A45" t="s">
        <v>11</v>
      </c>
      <c r="B45">
        <v>13</v>
      </c>
      <c r="C45">
        <v>18</v>
      </c>
      <c r="D45">
        <v>9479594.4990234394</v>
      </c>
      <c r="E45">
        <v>343470.6640625</v>
      </c>
      <c r="F45">
        <v>618.70000000000005</v>
      </c>
      <c r="G45" t="s">
        <v>6</v>
      </c>
      <c r="H45">
        <v>1.5</v>
      </c>
      <c r="I45">
        <f t="shared" si="6"/>
        <v>0.99999810118820764</v>
      </c>
      <c r="J45" s="6">
        <f t="shared" si="6"/>
        <v>3.4965732015422961E-2</v>
      </c>
      <c r="K45" s="2">
        <f>(J45*$N$3)/$N$2</f>
        <v>0.12007434053360092</v>
      </c>
    </row>
    <row r="46" spans="1:11" x14ac:dyDescent="0.3">
      <c r="A46" t="s">
        <v>11</v>
      </c>
      <c r="B46">
        <v>2001</v>
      </c>
      <c r="C46">
        <v>2</v>
      </c>
      <c r="D46">
        <v>0</v>
      </c>
      <c r="E46">
        <v>0</v>
      </c>
      <c r="F46">
        <v>633.12</v>
      </c>
    </row>
    <row r="47" spans="1:11" x14ac:dyDescent="0.3">
      <c r="A47" t="s">
        <v>11</v>
      </c>
      <c r="B47">
        <v>2001</v>
      </c>
      <c r="C47">
        <v>3</v>
      </c>
      <c r="D47">
        <v>0</v>
      </c>
      <c r="E47">
        <v>0</v>
      </c>
      <c r="F47">
        <v>647.32000000000005</v>
      </c>
    </row>
    <row r="48" spans="1:11" x14ac:dyDescent="0.3">
      <c r="A48" t="s">
        <v>11</v>
      </c>
      <c r="B48">
        <v>13</v>
      </c>
      <c r="C48">
        <v>20</v>
      </c>
      <c r="D48">
        <v>13328277.4140625</v>
      </c>
      <c r="E48">
        <v>0</v>
      </c>
      <c r="F48">
        <v>662.27</v>
      </c>
      <c r="G48" t="s">
        <v>7</v>
      </c>
      <c r="H48">
        <v>1.5</v>
      </c>
      <c r="I48">
        <f t="shared" ref="I48:J50" si="7">D48/(C48+D48)</f>
        <v>0.99999849943324504</v>
      </c>
      <c r="J48" s="6">
        <f t="shared" si="7"/>
        <v>0</v>
      </c>
      <c r="K48" s="2">
        <f>(J48*$N$3)/$N$2</f>
        <v>0</v>
      </c>
    </row>
    <row r="49" spans="1:11" x14ac:dyDescent="0.3">
      <c r="A49" t="s">
        <v>11</v>
      </c>
      <c r="B49">
        <v>13</v>
      </c>
      <c r="C49">
        <v>22</v>
      </c>
      <c r="D49">
        <v>12038869.2734375</v>
      </c>
      <c r="E49">
        <v>0</v>
      </c>
      <c r="F49">
        <v>677.17</v>
      </c>
      <c r="G49" t="s">
        <v>7</v>
      </c>
      <c r="H49">
        <v>1.5</v>
      </c>
      <c r="I49">
        <f t="shared" si="7"/>
        <v>0.99999817258919443</v>
      </c>
      <c r="J49" s="6">
        <f t="shared" si="7"/>
        <v>0</v>
      </c>
      <c r="K49" s="2">
        <f>(J49*$N$3)/$N$2</f>
        <v>0</v>
      </c>
    </row>
    <row r="50" spans="1:11" x14ac:dyDescent="0.3">
      <c r="A50" t="s">
        <v>11</v>
      </c>
      <c r="B50">
        <v>13</v>
      </c>
      <c r="C50">
        <v>24</v>
      </c>
      <c r="D50">
        <v>12879576.229492201</v>
      </c>
      <c r="E50">
        <v>0</v>
      </c>
      <c r="F50">
        <v>692.1</v>
      </c>
      <c r="G50" t="s">
        <v>7</v>
      </c>
      <c r="H50">
        <v>1.5</v>
      </c>
      <c r="I50">
        <f t="shared" si="7"/>
        <v>0.99999813658812597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11</v>
      </c>
      <c r="B51">
        <v>2001</v>
      </c>
      <c r="C51">
        <v>2</v>
      </c>
      <c r="D51">
        <v>0</v>
      </c>
      <c r="E51">
        <v>0</v>
      </c>
      <c r="F51">
        <v>706.43</v>
      </c>
    </row>
    <row r="52" spans="1:11" x14ac:dyDescent="0.3">
      <c r="A52" t="s">
        <v>11</v>
      </c>
      <c r="B52">
        <v>2001</v>
      </c>
      <c r="C52">
        <v>3</v>
      </c>
      <c r="D52">
        <v>0</v>
      </c>
      <c r="E52">
        <v>0</v>
      </c>
      <c r="F52">
        <v>720.5</v>
      </c>
    </row>
    <row r="53" spans="1:11" x14ac:dyDescent="0.3">
      <c r="A53" t="s">
        <v>11</v>
      </c>
      <c r="B53">
        <v>2001</v>
      </c>
      <c r="C53">
        <v>2</v>
      </c>
      <c r="D53">
        <v>0</v>
      </c>
      <c r="E53">
        <v>0</v>
      </c>
      <c r="F53">
        <v>734.96</v>
      </c>
    </row>
    <row r="54" spans="1:11" x14ac:dyDescent="0.3">
      <c r="A54" t="s">
        <v>11</v>
      </c>
      <c r="B54">
        <v>2001</v>
      </c>
      <c r="C54">
        <v>3</v>
      </c>
      <c r="D54">
        <v>0</v>
      </c>
      <c r="E54">
        <v>0</v>
      </c>
      <c r="F54">
        <v>749.19</v>
      </c>
    </row>
    <row r="55" spans="1:11" x14ac:dyDescent="0.3">
      <c r="A55" t="s">
        <v>11</v>
      </c>
      <c r="B55">
        <v>12</v>
      </c>
      <c r="C55">
        <v>14</v>
      </c>
      <c r="D55">
        <v>7001631.9785156297</v>
      </c>
      <c r="E55">
        <v>474133.314453125</v>
      </c>
      <c r="F55">
        <v>764.04</v>
      </c>
      <c r="G55" t="s">
        <v>6</v>
      </c>
      <c r="H55">
        <v>3</v>
      </c>
      <c r="I55">
        <f t="shared" ref="I55:J57" si="8">D55/(C55+D55)</f>
        <v>0.99999800047016907</v>
      </c>
      <c r="J55" s="6">
        <f t="shared" si="8"/>
        <v>6.3422712708632742E-2</v>
      </c>
      <c r="K55" s="2">
        <f>(J55*$N$3)/$N$2</f>
        <v>0.21779725360767588</v>
      </c>
    </row>
    <row r="56" spans="1:11" x14ac:dyDescent="0.3">
      <c r="A56" t="s">
        <v>11</v>
      </c>
      <c r="B56">
        <v>12</v>
      </c>
      <c r="C56">
        <v>16</v>
      </c>
      <c r="D56">
        <v>6904775.703125</v>
      </c>
      <c r="E56">
        <v>576709.115234375</v>
      </c>
      <c r="F56">
        <v>778.99</v>
      </c>
      <c r="G56" t="s">
        <v>6</v>
      </c>
      <c r="H56">
        <v>3</v>
      </c>
      <c r="I56">
        <f t="shared" si="8"/>
        <v>0.999997682768621</v>
      </c>
      <c r="J56" s="6">
        <f t="shared" si="8"/>
        <v>7.7084847357993078E-2</v>
      </c>
      <c r="K56" s="2">
        <f>(J56*$N$3)/$N$2</f>
        <v>0.26471381201347755</v>
      </c>
    </row>
    <row r="57" spans="1:11" x14ac:dyDescent="0.3">
      <c r="A57" t="s">
        <v>11</v>
      </c>
      <c r="B57">
        <v>12</v>
      </c>
      <c r="C57">
        <v>18</v>
      </c>
      <c r="D57">
        <v>7390986.0800781297</v>
      </c>
      <c r="E57">
        <v>564322.51611328102</v>
      </c>
      <c r="F57">
        <v>793.94</v>
      </c>
      <c r="G57" t="s">
        <v>6</v>
      </c>
      <c r="H57">
        <v>3</v>
      </c>
      <c r="I57">
        <f t="shared" si="8"/>
        <v>0.99999756460694578</v>
      </c>
      <c r="J57" s="6">
        <f t="shared" si="8"/>
        <v>7.0936596524168699E-2</v>
      </c>
      <c r="K57" s="2">
        <f>(J57*$N$3)/$N$2</f>
        <v>0.24360036402442953</v>
      </c>
    </row>
    <row r="58" spans="1:11" x14ac:dyDescent="0.3">
      <c r="A58" t="s">
        <v>11</v>
      </c>
      <c r="B58">
        <v>2001</v>
      </c>
      <c r="C58">
        <v>2</v>
      </c>
      <c r="D58">
        <v>0</v>
      </c>
      <c r="E58">
        <v>0</v>
      </c>
      <c r="F58">
        <v>808.24</v>
      </c>
    </row>
    <row r="59" spans="1:11" x14ac:dyDescent="0.3">
      <c r="A59" t="s">
        <v>11</v>
      </c>
      <c r="B59">
        <v>2001</v>
      </c>
      <c r="C59">
        <v>3</v>
      </c>
      <c r="D59">
        <v>0</v>
      </c>
      <c r="E59">
        <v>0</v>
      </c>
      <c r="F59">
        <v>822.53</v>
      </c>
    </row>
    <row r="60" spans="1:11" x14ac:dyDescent="0.3">
      <c r="A60" t="s">
        <v>11</v>
      </c>
      <c r="B60">
        <v>12</v>
      </c>
      <c r="C60">
        <v>20</v>
      </c>
      <c r="D60">
        <v>14172952.2490234</v>
      </c>
      <c r="E60">
        <v>0</v>
      </c>
      <c r="F60">
        <v>837.35</v>
      </c>
      <c r="G60" t="s">
        <v>7</v>
      </c>
      <c r="H60">
        <v>3</v>
      </c>
      <c r="I60">
        <f t="shared" ref="I60:J62" si="9">D60/(C60+D60)</f>
        <v>0.99999858886339088</v>
      </c>
      <c r="J60" s="6">
        <f t="shared" si="9"/>
        <v>0</v>
      </c>
      <c r="K60" s="2">
        <f>(J60*$N$3)/$N$2</f>
        <v>0</v>
      </c>
    </row>
    <row r="61" spans="1:11" x14ac:dyDescent="0.3">
      <c r="A61" t="s">
        <v>11</v>
      </c>
      <c r="B61">
        <v>12</v>
      </c>
      <c r="C61">
        <v>22</v>
      </c>
      <c r="D61">
        <v>13605940.2226563</v>
      </c>
      <c r="E61">
        <v>0</v>
      </c>
      <c r="F61">
        <v>852.32</v>
      </c>
      <c r="G61" t="s">
        <v>7</v>
      </c>
      <c r="H61">
        <v>3</v>
      </c>
      <c r="I61">
        <f t="shared" si="9"/>
        <v>0.99999838306180477</v>
      </c>
      <c r="J61" s="6">
        <f t="shared" si="9"/>
        <v>0</v>
      </c>
      <c r="K61" s="2">
        <f>(J61*$N$3)/$N$2</f>
        <v>0</v>
      </c>
    </row>
    <row r="62" spans="1:11" x14ac:dyDescent="0.3">
      <c r="A62" t="s">
        <v>11</v>
      </c>
      <c r="B62">
        <v>12</v>
      </c>
      <c r="C62">
        <v>24</v>
      </c>
      <c r="D62">
        <v>12509648.4760742</v>
      </c>
      <c r="E62">
        <v>0</v>
      </c>
      <c r="F62">
        <v>867.19</v>
      </c>
      <c r="G62" t="s">
        <v>7</v>
      </c>
      <c r="H62">
        <v>3</v>
      </c>
      <c r="I62">
        <f t="shared" si="9"/>
        <v>0.99999808148454361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11</v>
      </c>
      <c r="B63">
        <v>2001</v>
      </c>
      <c r="C63">
        <v>2</v>
      </c>
      <c r="D63">
        <v>0</v>
      </c>
      <c r="E63">
        <v>0</v>
      </c>
      <c r="F63">
        <v>881.67</v>
      </c>
    </row>
    <row r="64" spans="1:11" x14ac:dyDescent="0.3">
      <c r="A64" t="s">
        <v>11</v>
      </c>
      <c r="B64">
        <v>2001</v>
      </c>
      <c r="C64">
        <v>3</v>
      </c>
      <c r="D64">
        <v>0</v>
      </c>
      <c r="E64">
        <v>0</v>
      </c>
      <c r="F64">
        <v>895.76</v>
      </c>
    </row>
    <row r="65" spans="1:11" x14ac:dyDescent="0.3">
      <c r="A65" t="s">
        <v>11</v>
      </c>
      <c r="B65">
        <v>2001</v>
      </c>
      <c r="C65">
        <v>2</v>
      </c>
      <c r="D65">
        <v>0</v>
      </c>
      <c r="E65">
        <v>0</v>
      </c>
      <c r="F65">
        <v>910.2</v>
      </c>
    </row>
    <row r="66" spans="1:11" x14ac:dyDescent="0.3">
      <c r="A66" t="s">
        <v>11</v>
      </c>
      <c r="B66">
        <v>2001</v>
      </c>
      <c r="C66">
        <v>3</v>
      </c>
      <c r="D66">
        <v>0</v>
      </c>
      <c r="E66">
        <v>0</v>
      </c>
      <c r="F66">
        <v>924.35</v>
      </c>
    </row>
    <row r="67" spans="1:11" x14ac:dyDescent="0.3">
      <c r="A67" t="s">
        <v>11</v>
      </c>
      <c r="B67">
        <v>11</v>
      </c>
      <c r="C67">
        <v>14</v>
      </c>
      <c r="D67">
        <v>5229375.6933593797</v>
      </c>
      <c r="E67">
        <v>588954.26611328102</v>
      </c>
      <c r="F67">
        <v>939.29</v>
      </c>
      <c r="G67" t="s">
        <v>6</v>
      </c>
      <c r="H67">
        <v>5</v>
      </c>
      <c r="I67">
        <f t="shared" ref="I67:J69" si="10">D67/(C67+D67)</f>
        <v>0.9999973228233463</v>
      </c>
      <c r="J67" s="6">
        <f t="shared" si="10"/>
        <v>0.10122393714616013</v>
      </c>
      <c r="K67" s="2">
        <f>(J67*$N$3)/$N$2</f>
        <v>0.34760883866748987</v>
      </c>
    </row>
    <row r="68" spans="1:11" x14ac:dyDescent="0.3">
      <c r="A68" t="s">
        <v>11</v>
      </c>
      <c r="B68">
        <v>11</v>
      </c>
      <c r="C68">
        <v>16</v>
      </c>
      <c r="D68">
        <v>7081992.8950195303</v>
      </c>
      <c r="E68">
        <v>948566.28808593797</v>
      </c>
      <c r="F68">
        <v>954.26</v>
      </c>
      <c r="G68" t="s">
        <v>6</v>
      </c>
      <c r="H68">
        <v>5</v>
      </c>
      <c r="I68">
        <f t="shared" si="10"/>
        <v>0.9999977407540378</v>
      </c>
      <c r="J68" s="6">
        <f t="shared" si="10"/>
        <v>0.11811958127168939</v>
      </c>
      <c r="K68" s="2">
        <f>(J68*$N$3)/$N$2</f>
        <v>0.40562945512043541</v>
      </c>
    </row>
    <row r="69" spans="1:11" x14ac:dyDescent="0.3">
      <c r="A69" t="s">
        <v>11</v>
      </c>
      <c r="B69">
        <v>11</v>
      </c>
      <c r="C69">
        <v>18</v>
      </c>
      <c r="D69">
        <v>7623217.5224609403</v>
      </c>
      <c r="E69">
        <v>906996.234375</v>
      </c>
      <c r="F69">
        <v>969.08</v>
      </c>
      <c r="G69" t="s">
        <v>6</v>
      </c>
      <c r="H69">
        <v>5</v>
      </c>
      <c r="I69">
        <f t="shared" si="10"/>
        <v>0.99999763879786385</v>
      </c>
      <c r="J69" s="6">
        <f t="shared" si="10"/>
        <v>0.10632749192810691</v>
      </c>
      <c r="K69" s="2">
        <f>(J69*$N$3)/$N$2</f>
        <v>0.36513474015724173</v>
      </c>
    </row>
    <row r="70" spans="1:11" x14ac:dyDescent="0.3">
      <c r="A70" t="s">
        <v>11</v>
      </c>
      <c r="B70">
        <v>2001</v>
      </c>
      <c r="C70">
        <v>2</v>
      </c>
      <c r="D70">
        <v>0</v>
      </c>
      <c r="E70">
        <v>0</v>
      </c>
      <c r="F70">
        <v>983.54</v>
      </c>
    </row>
    <row r="71" spans="1:11" x14ac:dyDescent="0.3">
      <c r="A71" t="s">
        <v>11</v>
      </c>
      <c r="B71">
        <v>2001</v>
      </c>
      <c r="C71">
        <v>3</v>
      </c>
      <c r="D71">
        <v>0</v>
      </c>
      <c r="E71">
        <v>0</v>
      </c>
      <c r="F71">
        <v>997.71</v>
      </c>
    </row>
    <row r="72" spans="1:11" x14ac:dyDescent="0.3">
      <c r="A72" t="s">
        <v>11</v>
      </c>
      <c r="B72">
        <v>11</v>
      </c>
      <c r="C72">
        <v>20</v>
      </c>
      <c r="D72">
        <v>13459474.043945299</v>
      </c>
      <c r="E72">
        <v>0</v>
      </c>
      <c r="F72">
        <v>1012.67</v>
      </c>
      <c r="G72" t="s">
        <v>7</v>
      </c>
      <c r="H72">
        <v>5</v>
      </c>
      <c r="I72">
        <f t="shared" ref="I72:J74" si="11">D72/(C72+D72)</f>
        <v>0.99999851406004303</v>
      </c>
      <c r="J72" s="6">
        <f t="shared" si="11"/>
        <v>0</v>
      </c>
      <c r="K72" s="2">
        <f>(J72*$N$3)/$N$2</f>
        <v>0</v>
      </c>
    </row>
    <row r="73" spans="1:11" x14ac:dyDescent="0.3">
      <c r="A73" t="s">
        <v>11</v>
      </c>
      <c r="B73">
        <v>11</v>
      </c>
      <c r="C73">
        <v>22</v>
      </c>
      <c r="D73">
        <v>13090386.2348633</v>
      </c>
      <c r="E73">
        <v>0</v>
      </c>
      <c r="F73">
        <v>1027.25</v>
      </c>
      <c r="G73" t="s">
        <v>7</v>
      </c>
      <c r="H73">
        <v>5</v>
      </c>
      <c r="I73">
        <f t="shared" si="11"/>
        <v>0.99999831938014416</v>
      </c>
      <c r="J73" s="6">
        <f t="shared" si="11"/>
        <v>0</v>
      </c>
      <c r="K73" s="2">
        <f>(J73*$N$3)/$N$2</f>
        <v>0</v>
      </c>
    </row>
    <row r="74" spans="1:11" x14ac:dyDescent="0.3">
      <c r="A74" t="s">
        <v>11</v>
      </c>
      <c r="B74">
        <v>11</v>
      </c>
      <c r="C74">
        <v>24</v>
      </c>
      <c r="D74">
        <v>11991438.130859399</v>
      </c>
      <c r="E74">
        <v>0</v>
      </c>
      <c r="F74">
        <v>1042.2</v>
      </c>
      <c r="G74" t="s">
        <v>7</v>
      </c>
      <c r="H74">
        <v>5</v>
      </c>
      <c r="I74">
        <f t="shared" si="11"/>
        <v>0.99999799857600868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11</v>
      </c>
      <c r="B75">
        <v>2001</v>
      </c>
      <c r="C75">
        <v>2</v>
      </c>
      <c r="D75">
        <v>0</v>
      </c>
      <c r="E75">
        <v>0</v>
      </c>
      <c r="F75">
        <v>1056.6600000000001</v>
      </c>
    </row>
    <row r="76" spans="1:11" x14ac:dyDescent="0.3">
      <c r="A76" t="s">
        <v>11</v>
      </c>
      <c r="B76">
        <v>2001</v>
      </c>
      <c r="C76">
        <v>3</v>
      </c>
      <c r="D76">
        <v>0</v>
      </c>
      <c r="E76">
        <v>0</v>
      </c>
      <c r="F76">
        <v>1070.3499999999999</v>
      </c>
    </row>
    <row r="77" spans="1:11" x14ac:dyDescent="0.3">
      <c r="A77" t="s">
        <v>11</v>
      </c>
      <c r="B77">
        <v>2001</v>
      </c>
      <c r="C77">
        <v>2</v>
      </c>
      <c r="D77">
        <v>0</v>
      </c>
      <c r="E77">
        <v>0</v>
      </c>
      <c r="F77">
        <v>1084.82</v>
      </c>
    </row>
    <row r="78" spans="1:11" x14ac:dyDescent="0.3">
      <c r="A78" t="s">
        <v>11</v>
      </c>
      <c r="B78">
        <v>2001</v>
      </c>
      <c r="C78">
        <v>3</v>
      </c>
      <c r="D78">
        <v>0</v>
      </c>
      <c r="E78">
        <v>0</v>
      </c>
      <c r="F78">
        <v>1099.05</v>
      </c>
    </row>
    <row r="79" spans="1:11" x14ac:dyDescent="0.3">
      <c r="A79" t="s">
        <v>11</v>
      </c>
      <c r="B79">
        <v>10</v>
      </c>
      <c r="C79">
        <v>14</v>
      </c>
      <c r="D79">
        <v>2976159.76953125</v>
      </c>
      <c r="E79">
        <v>584701.00488281297</v>
      </c>
      <c r="F79">
        <v>1113.75</v>
      </c>
      <c r="G79" t="s">
        <v>6</v>
      </c>
      <c r="H79">
        <v>10</v>
      </c>
      <c r="I79">
        <f t="shared" ref="I79:J81" si="12">D79/(C79+D79)</f>
        <v>0.99999529597359427</v>
      </c>
      <c r="J79" s="6">
        <f t="shared" si="12"/>
        <v>0.16420215277274497</v>
      </c>
      <c r="K79" s="2">
        <f>(J79*$N$3)/$N$2</f>
        <v>0.56387966365721298</v>
      </c>
    </row>
    <row r="80" spans="1:11" x14ac:dyDescent="0.3">
      <c r="A80" t="s">
        <v>11</v>
      </c>
      <c r="B80">
        <v>10</v>
      </c>
      <c r="C80">
        <v>16</v>
      </c>
      <c r="D80">
        <v>5007980.98046875</v>
      </c>
      <c r="E80">
        <v>1149009.2675781299</v>
      </c>
      <c r="F80">
        <v>1128.48</v>
      </c>
      <c r="G80" t="s">
        <v>6</v>
      </c>
      <c r="H80">
        <v>10</v>
      </c>
      <c r="I80">
        <f t="shared" si="12"/>
        <v>0.99999680510989475</v>
      </c>
      <c r="J80" s="6">
        <f t="shared" si="12"/>
        <v>0.18661865965154298</v>
      </c>
      <c r="K80" s="2">
        <f>(J80*$N$3)/$N$2</f>
        <v>0.64085924124338634</v>
      </c>
    </row>
    <row r="81" spans="1:11" x14ac:dyDescent="0.3">
      <c r="A81" t="s">
        <v>11</v>
      </c>
      <c r="B81">
        <v>10</v>
      </c>
      <c r="C81">
        <v>18</v>
      </c>
      <c r="D81">
        <v>5678981.6699218797</v>
      </c>
      <c r="E81">
        <v>1140591.6025390599</v>
      </c>
      <c r="F81">
        <v>1143.08</v>
      </c>
      <c r="G81" t="s">
        <v>6</v>
      </c>
      <c r="H81">
        <v>10</v>
      </c>
      <c r="I81">
        <f t="shared" si="12"/>
        <v>0.99999683042770804</v>
      </c>
      <c r="J81" s="6">
        <f t="shared" si="12"/>
        <v>0.16725263546108382</v>
      </c>
      <c r="K81" s="2">
        <f>(J81*$N$3)/$N$2</f>
        <v>0.57435519715812433</v>
      </c>
    </row>
    <row r="82" spans="1:11" x14ac:dyDescent="0.3">
      <c r="A82" t="s">
        <v>11</v>
      </c>
      <c r="B82">
        <v>2001</v>
      </c>
      <c r="C82">
        <v>2</v>
      </c>
      <c r="D82">
        <v>0</v>
      </c>
      <c r="E82">
        <v>0</v>
      </c>
      <c r="F82">
        <v>1157.51</v>
      </c>
    </row>
    <row r="83" spans="1:11" x14ac:dyDescent="0.3">
      <c r="A83" t="s">
        <v>11</v>
      </c>
      <c r="B83">
        <v>2001</v>
      </c>
      <c r="C83">
        <v>3</v>
      </c>
      <c r="D83">
        <v>0</v>
      </c>
      <c r="E83">
        <v>0</v>
      </c>
      <c r="F83">
        <v>1171.67</v>
      </c>
    </row>
    <row r="84" spans="1:11" x14ac:dyDescent="0.3">
      <c r="A84" t="s">
        <v>11</v>
      </c>
      <c r="B84">
        <v>10</v>
      </c>
      <c r="C84">
        <v>20</v>
      </c>
      <c r="D84">
        <v>11431860.786132799</v>
      </c>
      <c r="E84">
        <v>0</v>
      </c>
      <c r="F84">
        <v>1186.3800000000001</v>
      </c>
      <c r="G84" t="s">
        <v>7</v>
      </c>
      <c r="H84">
        <v>10</v>
      </c>
      <c r="I84">
        <f t="shared" ref="I84:J86" si="13">D84/(C84+D84)</f>
        <v>0.99999825050659863</v>
      </c>
      <c r="J84" s="6">
        <f t="shared" si="13"/>
        <v>0</v>
      </c>
      <c r="K84" s="2">
        <f>(J84*$N$3)/$N$2</f>
        <v>0</v>
      </c>
    </row>
    <row r="85" spans="1:11" x14ac:dyDescent="0.3">
      <c r="A85" t="s">
        <v>11</v>
      </c>
      <c r="B85">
        <v>10</v>
      </c>
      <c r="C85">
        <v>22</v>
      </c>
      <c r="D85">
        <v>11534811.2587891</v>
      </c>
      <c r="E85">
        <v>0</v>
      </c>
      <c r="F85">
        <v>1201.04</v>
      </c>
      <c r="G85" t="s">
        <v>7</v>
      </c>
      <c r="H85">
        <v>10</v>
      </c>
      <c r="I85">
        <f t="shared" si="13"/>
        <v>0.99999809273359164</v>
      </c>
      <c r="J85" s="6">
        <f t="shared" si="13"/>
        <v>0</v>
      </c>
      <c r="K85" s="2">
        <f>(J85*$N$3)/$N$2</f>
        <v>0</v>
      </c>
    </row>
    <row r="86" spans="1:11" x14ac:dyDescent="0.3">
      <c r="A86" t="s">
        <v>11</v>
      </c>
      <c r="B86">
        <v>10</v>
      </c>
      <c r="C86">
        <v>24</v>
      </c>
      <c r="D86">
        <v>9923470.2910156306</v>
      </c>
      <c r="E86">
        <v>0</v>
      </c>
      <c r="F86">
        <v>1215.76</v>
      </c>
      <c r="G86" t="s">
        <v>7</v>
      </c>
      <c r="H86">
        <v>10</v>
      </c>
      <c r="I86">
        <f t="shared" si="13"/>
        <v>0.99999758149707185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11</v>
      </c>
      <c r="B87">
        <v>2001</v>
      </c>
      <c r="C87">
        <v>2</v>
      </c>
      <c r="D87">
        <v>0</v>
      </c>
      <c r="E87">
        <v>0</v>
      </c>
      <c r="F87">
        <v>1230.24</v>
      </c>
    </row>
    <row r="88" spans="1:11" x14ac:dyDescent="0.3">
      <c r="A88" t="s">
        <v>11</v>
      </c>
      <c r="B88">
        <v>2001</v>
      </c>
      <c r="C88">
        <v>3</v>
      </c>
      <c r="D88">
        <v>0</v>
      </c>
      <c r="E88">
        <v>0</v>
      </c>
      <c r="F88">
        <v>1244.42</v>
      </c>
    </row>
    <row r="89" spans="1:11" x14ac:dyDescent="0.3">
      <c r="A89" t="s">
        <v>11</v>
      </c>
      <c r="B89">
        <v>2001</v>
      </c>
      <c r="C89">
        <v>2</v>
      </c>
      <c r="D89">
        <v>0</v>
      </c>
      <c r="E89">
        <v>0</v>
      </c>
      <c r="F89">
        <v>1258.8</v>
      </c>
    </row>
    <row r="90" spans="1:11" x14ac:dyDescent="0.3">
      <c r="A90" t="s">
        <v>11</v>
      </c>
      <c r="B90">
        <v>2001</v>
      </c>
      <c r="C90">
        <v>3</v>
      </c>
      <c r="D90">
        <v>0</v>
      </c>
      <c r="E90">
        <v>0</v>
      </c>
      <c r="F90">
        <v>1272.98</v>
      </c>
    </row>
    <row r="91" spans="1:11" x14ac:dyDescent="0.3">
      <c r="A91" t="s">
        <v>11</v>
      </c>
      <c r="B91">
        <v>9</v>
      </c>
      <c r="C91">
        <v>14</v>
      </c>
      <c r="D91">
        <v>1422460.1855468799</v>
      </c>
      <c r="E91">
        <v>609248.45800781297</v>
      </c>
      <c r="F91">
        <v>1287.69</v>
      </c>
      <c r="G91" t="s">
        <v>6</v>
      </c>
      <c r="H91">
        <v>20</v>
      </c>
      <c r="I91">
        <f t="shared" ref="I91:J93" si="14">D91/(C91+D91)</f>
        <v>0.99999015799362667</v>
      </c>
      <c r="J91" s="6">
        <f t="shared" si="14"/>
        <v>0.29986999363347061</v>
      </c>
      <c r="K91" s="2">
        <f>(J91*$N$3)/$N$2</f>
        <v>1.0297708543745623</v>
      </c>
    </row>
    <row r="92" spans="1:11" x14ac:dyDescent="0.3">
      <c r="A92" t="s">
        <v>11</v>
      </c>
      <c r="B92">
        <v>9</v>
      </c>
      <c r="C92">
        <v>16</v>
      </c>
      <c r="D92">
        <v>2790516.55078125</v>
      </c>
      <c r="E92">
        <v>1408895.1015625</v>
      </c>
      <c r="F92">
        <v>1302.5</v>
      </c>
      <c r="G92" t="s">
        <v>6</v>
      </c>
      <c r="H92">
        <v>20</v>
      </c>
      <c r="I92">
        <f t="shared" si="14"/>
        <v>0.99999426632740929</v>
      </c>
      <c r="J92" s="6">
        <f t="shared" si="14"/>
        <v>0.33549821217840742</v>
      </c>
      <c r="K92" s="2">
        <f>(J92*$N$3)/$N$2</f>
        <v>1.1521202118621536</v>
      </c>
    </row>
    <row r="93" spans="1:11" x14ac:dyDescent="0.3">
      <c r="A93" t="s">
        <v>11</v>
      </c>
      <c r="B93">
        <v>9</v>
      </c>
      <c r="C93">
        <v>18</v>
      </c>
      <c r="D93">
        <v>3108850.390625</v>
      </c>
      <c r="E93">
        <v>1361243.6254882801</v>
      </c>
      <c r="F93">
        <v>1317.21</v>
      </c>
      <c r="G93" t="s">
        <v>6</v>
      </c>
      <c r="H93">
        <v>20</v>
      </c>
      <c r="I93">
        <f t="shared" si="14"/>
        <v>0.9999942101119319</v>
      </c>
      <c r="J93" s="6">
        <f t="shared" si="14"/>
        <v>0.30452237035315716</v>
      </c>
      <c r="K93" s="2">
        <f>(J93*$N$3)/$N$2</f>
        <v>1.045747384374959</v>
      </c>
    </row>
    <row r="94" spans="1:11" x14ac:dyDescent="0.3">
      <c r="A94" t="s">
        <v>11</v>
      </c>
      <c r="B94">
        <v>2001</v>
      </c>
      <c r="C94">
        <v>2</v>
      </c>
      <c r="D94">
        <v>0</v>
      </c>
      <c r="E94">
        <v>0</v>
      </c>
      <c r="F94">
        <v>1331.5</v>
      </c>
    </row>
    <row r="95" spans="1:11" x14ac:dyDescent="0.3">
      <c r="A95" t="s">
        <v>11</v>
      </c>
      <c r="B95">
        <v>2001</v>
      </c>
      <c r="C95">
        <v>3</v>
      </c>
      <c r="D95">
        <v>0</v>
      </c>
      <c r="E95">
        <v>0</v>
      </c>
      <c r="F95">
        <v>1345.68</v>
      </c>
    </row>
    <row r="96" spans="1:11" x14ac:dyDescent="0.3">
      <c r="A96" t="s">
        <v>11</v>
      </c>
      <c r="B96">
        <v>9</v>
      </c>
      <c r="C96">
        <v>20</v>
      </c>
      <c r="D96">
        <v>11156551.106445299</v>
      </c>
      <c r="E96">
        <v>0</v>
      </c>
      <c r="F96">
        <v>1360.4</v>
      </c>
      <c r="G96" t="s">
        <v>7</v>
      </c>
      <c r="H96">
        <v>20</v>
      </c>
      <c r="I96">
        <f t="shared" ref="I96:J98" si="15">D96/(C96+D96)</f>
        <v>0.99999820733451084</v>
      </c>
      <c r="J96" s="6">
        <f t="shared" si="15"/>
        <v>0</v>
      </c>
      <c r="K96" s="2">
        <f>(J96*$N$3)/$N$2</f>
        <v>0</v>
      </c>
    </row>
    <row r="97" spans="1:11" x14ac:dyDescent="0.3">
      <c r="A97" t="s">
        <v>11</v>
      </c>
      <c r="B97">
        <v>9</v>
      </c>
      <c r="C97">
        <v>22</v>
      </c>
      <c r="D97">
        <v>10045795.5791016</v>
      </c>
      <c r="E97">
        <v>0</v>
      </c>
      <c r="F97">
        <v>1375.12</v>
      </c>
      <c r="G97" t="s">
        <v>7</v>
      </c>
      <c r="H97">
        <v>20</v>
      </c>
      <c r="I97">
        <f t="shared" si="15"/>
        <v>0.99999781003389454</v>
      </c>
      <c r="J97" s="6">
        <f t="shared" si="15"/>
        <v>0</v>
      </c>
      <c r="K97" s="2">
        <f>(J97*$N$3)/$N$2</f>
        <v>0</v>
      </c>
    </row>
    <row r="98" spans="1:11" x14ac:dyDescent="0.3">
      <c r="A98" t="s">
        <v>11</v>
      </c>
      <c r="B98">
        <v>9</v>
      </c>
      <c r="C98">
        <v>24</v>
      </c>
      <c r="D98">
        <v>10146987.5390625</v>
      </c>
      <c r="E98">
        <v>0</v>
      </c>
      <c r="F98">
        <v>1389.84</v>
      </c>
      <c r="G98" t="s">
        <v>7</v>
      </c>
      <c r="H98">
        <v>20</v>
      </c>
      <c r="I98">
        <f t="shared" si="15"/>
        <v>0.99999763477158687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11</v>
      </c>
      <c r="B99">
        <v>2001</v>
      </c>
      <c r="C99">
        <v>2</v>
      </c>
      <c r="D99">
        <v>0</v>
      </c>
      <c r="E99">
        <v>0</v>
      </c>
      <c r="F99">
        <v>1404.25</v>
      </c>
    </row>
    <row r="100" spans="1:11" x14ac:dyDescent="0.3">
      <c r="A100" t="s">
        <v>11</v>
      </c>
      <c r="B100">
        <v>2001</v>
      </c>
      <c r="C100">
        <v>3</v>
      </c>
      <c r="D100">
        <v>0</v>
      </c>
      <c r="E100">
        <v>0</v>
      </c>
      <c r="F100">
        <v>1418.47</v>
      </c>
    </row>
    <row r="101" spans="1:11" x14ac:dyDescent="0.3">
      <c r="A101" t="s">
        <v>11</v>
      </c>
      <c r="B101">
        <v>2001</v>
      </c>
      <c r="C101">
        <v>2</v>
      </c>
      <c r="D101">
        <v>0</v>
      </c>
      <c r="E101">
        <v>0</v>
      </c>
      <c r="F101">
        <v>1432.92</v>
      </c>
    </row>
    <row r="102" spans="1:11" x14ac:dyDescent="0.3">
      <c r="A102" t="s">
        <v>11</v>
      </c>
      <c r="B102">
        <v>2001</v>
      </c>
      <c r="C102">
        <v>3</v>
      </c>
      <c r="D102">
        <v>0</v>
      </c>
      <c r="E102">
        <v>0</v>
      </c>
      <c r="F102">
        <v>1446.99</v>
      </c>
    </row>
    <row r="103" spans="1:11" x14ac:dyDescent="0.3">
      <c r="A103" t="s">
        <v>11</v>
      </c>
      <c r="B103">
        <v>2001</v>
      </c>
      <c r="C103">
        <v>2</v>
      </c>
      <c r="D103">
        <v>0</v>
      </c>
      <c r="E103">
        <v>0</v>
      </c>
      <c r="F103">
        <v>1461.41</v>
      </c>
    </row>
    <row r="104" spans="1:11" x14ac:dyDescent="0.3">
      <c r="A104" t="s">
        <v>11</v>
      </c>
      <c r="B104">
        <v>2001</v>
      </c>
      <c r="C104">
        <v>3</v>
      </c>
      <c r="D104">
        <v>0</v>
      </c>
      <c r="E104">
        <v>0</v>
      </c>
      <c r="F104">
        <v>1475.62</v>
      </c>
    </row>
    <row r="105" spans="1:11" x14ac:dyDescent="0.3">
      <c r="A105" t="s">
        <v>11</v>
      </c>
      <c r="B105">
        <v>8</v>
      </c>
      <c r="C105">
        <v>14</v>
      </c>
      <c r="D105">
        <v>1389276.0004882801</v>
      </c>
      <c r="E105">
        <v>1458007.95703125</v>
      </c>
      <c r="F105">
        <v>1490.29</v>
      </c>
      <c r="G105" t="s">
        <v>6</v>
      </c>
      <c r="H105">
        <v>40</v>
      </c>
      <c r="I105">
        <f t="shared" ref="I105:J107" si="16">D105/(C105+D105)</f>
        <v>0.999989922910267</v>
      </c>
      <c r="J105" s="6">
        <f t="shared" si="16"/>
        <v>0.51206974042077047</v>
      </c>
      <c r="K105" s="2">
        <f>(J105*$N$3)/$N$2</f>
        <v>1.7584770243367218</v>
      </c>
    </row>
    <row r="106" spans="1:11" x14ac:dyDescent="0.3">
      <c r="A106" t="s">
        <v>11</v>
      </c>
      <c r="B106">
        <v>8</v>
      </c>
      <c r="C106">
        <v>16</v>
      </c>
      <c r="D106">
        <v>2039420.0488281299</v>
      </c>
      <c r="E106">
        <v>2656329.68115234</v>
      </c>
      <c r="F106">
        <v>1504.98</v>
      </c>
      <c r="G106" t="s">
        <v>6</v>
      </c>
      <c r="H106">
        <v>40</v>
      </c>
      <c r="I106">
        <f t="shared" si="16"/>
        <v>0.99999215469393654</v>
      </c>
      <c r="J106" s="6">
        <f t="shared" si="16"/>
        <v>0.56568808686560645</v>
      </c>
      <c r="K106" s="2">
        <f>(J106*$N$3)/$N$2</f>
        <v>1.9426055186873055</v>
      </c>
    </row>
    <row r="107" spans="1:11" x14ac:dyDescent="0.3">
      <c r="A107" t="s">
        <v>11</v>
      </c>
      <c r="B107">
        <v>8</v>
      </c>
      <c r="C107">
        <v>18</v>
      </c>
      <c r="D107">
        <v>2267848.9863281301</v>
      </c>
      <c r="E107">
        <v>2498007.7587890602</v>
      </c>
      <c r="F107">
        <v>1519.71</v>
      </c>
      <c r="G107" t="s">
        <v>6</v>
      </c>
      <c r="H107">
        <v>40</v>
      </c>
      <c r="I107">
        <f t="shared" si="16"/>
        <v>0.99999206302657584</v>
      </c>
      <c r="J107" s="6">
        <f t="shared" si="16"/>
        <v>0.5241466314211749</v>
      </c>
      <c r="K107" s="2">
        <f>(J107*$N$3)/$N$2</f>
        <v>1.7999497646165508</v>
      </c>
    </row>
    <row r="108" spans="1:11" x14ac:dyDescent="0.3">
      <c r="A108" t="s">
        <v>11</v>
      </c>
      <c r="B108">
        <v>2001</v>
      </c>
      <c r="C108">
        <v>2</v>
      </c>
      <c r="D108">
        <v>0</v>
      </c>
      <c r="E108">
        <v>0</v>
      </c>
      <c r="F108">
        <v>1534.17</v>
      </c>
    </row>
    <row r="109" spans="1:11" x14ac:dyDescent="0.3">
      <c r="A109" t="s">
        <v>11</v>
      </c>
      <c r="B109">
        <v>2001</v>
      </c>
      <c r="C109">
        <v>3</v>
      </c>
      <c r="D109">
        <v>0</v>
      </c>
      <c r="E109">
        <v>0</v>
      </c>
      <c r="F109">
        <v>1548.39</v>
      </c>
    </row>
    <row r="110" spans="1:11" x14ac:dyDescent="0.3">
      <c r="A110" t="s">
        <v>11</v>
      </c>
      <c r="B110">
        <v>2001</v>
      </c>
      <c r="C110">
        <v>2</v>
      </c>
      <c r="D110">
        <v>0</v>
      </c>
      <c r="E110">
        <v>0</v>
      </c>
      <c r="F110">
        <v>1562.72</v>
      </c>
    </row>
    <row r="111" spans="1:11" x14ac:dyDescent="0.3">
      <c r="A111" t="s">
        <v>11</v>
      </c>
      <c r="B111">
        <v>2001</v>
      </c>
      <c r="C111">
        <v>3</v>
      </c>
      <c r="D111">
        <v>0</v>
      </c>
      <c r="E111">
        <v>0</v>
      </c>
      <c r="F111">
        <v>1576.9</v>
      </c>
    </row>
    <row r="112" spans="1:11" x14ac:dyDescent="0.3">
      <c r="A112" t="s">
        <v>11</v>
      </c>
      <c r="B112">
        <v>8</v>
      </c>
      <c r="C112">
        <v>20</v>
      </c>
      <c r="D112">
        <v>8394493.52099609</v>
      </c>
      <c r="E112">
        <v>0</v>
      </c>
      <c r="F112">
        <v>1591.62</v>
      </c>
      <c r="G112" t="s">
        <v>7</v>
      </c>
      <c r="H112">
        <v>40</v>
      </c>
      <c r="I112">
        <f t="shared" ref="I112:J114" si="17">D112/(C112+D112)</f>
        <v>0.9999976174914782</v>
      </c>
      <c r="J112" s="6">
        <f t="shared" si="17"/>
        <v>0</v>
      </c>
      <c r="K112" s="2">
        <f>(J112*$N$3)/$N$2</f>
        <v>0</v>
      </c>
    </row>
    <row r="113" spans="1:11" x14ac:dyDescent="0.3">
      <c r="A113" t="s">
        <v>11</v>
      </c>
      <c r="B113">
        <v>8</v>
      </c>
      <c r="C113">
        <v>22</v>
      </c>
      <c r="D113">
        <v>8647987.69140625</v>
      </c>
      <c r="E113">
        <v>0</v>
      </c>
      <c r="F113">
        <v>1606.43</v>
      </c>
      <c r="G113" t="s">
        <v>7</v>
      </c>
      <c r="H113">
        <v>40</v>
      </c>
      <c r="I113">
        <f t="shared" si="17"/>
        <v>0.99999745606205526</v>
      </c>
      <c r="J113" s="6">
        <f t="shared" si="17"/>
        <v>0</v>
      </c>
      <c r="K113" s="2">
        <f>(J113*$N$3)/$N$2</f>
        <v>0</v>
      </c>
    </row>
    <row r="114" spans="1:11" x14ac:dyDescent="0.3">
      <c r="A114" t="s">
        <v>11</v>
      </c>
      <c r="B114">
        <v>8</v>
      </c>
      <c r="C114">
        <v>24</v>
      </c>
      <c r="D114">
        <v>9516950.5625</v>
      </c>
      <c r="E114">
        <v>0</v>
      </c>
      <c r="F114">
        <v>1621.01</v>
      </c>
      <c r="G114" t="s">
        <v>7</v>
      </c>
      <c r="H114">
        <v>40</v>
      </c>
      <c r="I114">
        <f t="shared" si="17"/>
        <v>0.99999747819017037</v>
      </c>
      <c r="J114" s="6">
        <f t="shared" si="17"/>
        <v>0</v>
      </c>
      <c r="K114" s="2">
        <f>(J114*$N$3)/$N$2</f>
        <v>0</v>
      </c>
    </row>
    <row r="115" spans="1:11" x14ac:dyDescent="0.3">
      <c r="A115" t="s">
        <v>11</v>
      </c>
      <c r="B115">
        <v>2001</v>
      </c>
      <c r="C115">
        <v>2</v>
      </c>
      <c r="D115">
        <v>0</v>
      </c>
      <c r="E115">
        <v>0</v>
      </c>
      <c r="F115">
        <v>1635.46</v>
      </c>
    </row>
    <row r="116" spans="1:11" x14ac:dyDescent="0.3">
      <c r="A116" t="s">
        <v>11</v>
      </c>
      <c r="B116">
        <v>2001</v>
      </c>
      <c r="C116">
        <v>3</v>
      </c>
      <c r="D116">
        <v>0</v>
      </c>
      <c r="E116">
        <v>0</v>
      </c>
      <c r="F116">
        <v>1649.66</v>
      </c>
    </row>
    <row r="117" spans="1:11" x14ac:dyDescent="0.3">
      <c r="A117" t="s">
        <v>11</v>
      </c>
      <c r="B117">
        <v>2001</v>
      </c>
      <c r="C117">
        <v>2</v>
      </c>
      <c r="D117">
        <v>0</v>
      </c>
      <c r="E117">
        <v>0</v>
      </c>
      <c r="F117">
        <v>1664.11</v>
      </c>
    </row>
    <row r="118" spans="1:11" x14ac:dyDescent="0.3">
      <c r="A118" t="s">
        <v>11</v>
      </c>
      <c r="B118">
        <v>2001</v>
      </c>
      <c r="C118">
        <v>3</v>
      </c>
      <c r="D118">
        <v>0</v>
      </c>
      <c r="E118">
        <v>0</v>
      </c>
      <c r="F118">
        <v>1678.27</v>
      </c>
    </row>
    <row r="119" spans="1:11" x14ac:dyDescent="0.3">
      <c r="A119" t="s">
        <v>11</v>
      </c>
      <c r="B119">
        <v>7</v>
      </c>
      <c r="C119">
        <v>14</v>
      </c>
      <c r="D119">
        <v>547030.525390625</v>
      </c>
      <c r="E119">
        <v>1174832.3203125</v>
      </c>
      <c r="F119">
        <v>1692.97</v>
      </c>
      <c r="G119" t="s">
        <v>6</v>
      </c>
      <c r="H119">
        <v>60</v>
      </c>
      <c r="I119">
        <f t="shared" ref="I119:J121" si="18">D119/(C119+D119)</f>
        <v>0.99997440793326653</v>
      </c>
      <c r="J119" s="6">
        <f t="shared" si="18"/>
        <v>0.68230307846195248</v>
      </c>
      <c r="K119" s="2">
        <f>(J119*$N$3)/$N$2</f>
        <v>2.3430681260792041</v>
      </c>
    </row>
    <row r="120" spans="1:11" x14ac:dyDescent="0.3">
      <c r="A120" t="s">
        <v>11</v>
      </c>
      <c r="B120">
        <v>7</v>
      </c>
      <c r="C120">
        <v>16</v>
      </c>
      <c r="D120">
        <v>582296.12988281297</v>
      </c>
      <c r="E120">
        <v>1776050.47265625</v>
      </c>
      <c r="F120">
        <v>1707.67</v>
      </c>
      <c r="G120" t="s">
        <v>6</v>
      </c>
      <c r="H120">
        <v>60</v>
      </c>
      <c r="I120">
        <f t="shared" si="18"/>
        <v>0.99997252332696007</v>
      </c>
      <c r="J120" s="6">
        <f t="shared" si="18"/>
        <v>0.75309136949764022</v>
      </c>
      <c r="K120" s="2">
        <f>(J120*$N$3)/$N$2</f>
        <v>2.5861592005020597</v>
      </c>
    </row>
    <row r="121" spans="1:11" x14ac:dyDescent="0.3">
      <c r="A121" t="s">
        <v>11</v>
      </c>
      <c r="B121">
        <v>7</v>
      </c>
      <c r="C121">
        <v>18</v>
      </c>
      <c r="D121">
        <v>631935.45800781297</v>
      </c>
      <c r="E121">
        <v>1627653.9296875</v>
      </c>
      <c r="F121">
        <v>1722.4</v>
      </c>
      <c r="G121" t="s">
        <v>6</v>
      </c>
      <c r="H121">
        <v>60</v>
      </c>
      <c r="I121">
        <f t="shared" si="18"/>
        <v>0.99997151688977737</v>
      </c>
      <c r="J121" s="6">
        <f t="shared" si="18"/>
        <v>0.72033172865431061</v>
      </c>
      <c r="K121" s="2">
        <f>(J121*$N$3)/$N$2</f>
        <v>2.4736607042988243</v>
      </c>
    </row>
    <row r="122" spans="1:11" x14ac:dyDescent="0.3">
      <c r="A122" t="s">
        <v>11</v>
      </c>
      <c r="B122">
        <v>2001</v>
      </c>
      <c r="C122">
        <v>2</v>
      </c>
      <c r="D122">
        <v>0</v>
      </c>
      <c r="E122">
        <v>0</v>
      </c>
      <c r="F122">
        <v>1736.8</v>
      </c>
    </row>
    <row r="123" spans="1:11" x14ac:dyDescent="0.3">
      <c r="A123" t="s">
        <v>11</v>
      </c>
      <c r="B123">
        <v>2001</v>
      </c>
      <c r="C123">
        <v>3</v>
      </c>
      <c r="D123">
        <v>0</v>
      </c>
      <c r="E123">
        <v>0</v>
      </c>
      <c r="F123">
        <v>1751.01</v>
      </c>
    </row>
    <row r="124" spans="1:11" x14ac:dyDescent="0.3">
      <c r="A124" t="s">
        <v>11</v>
      </c>
      <c r="B124">
        <v>2001</v>
      </c>
      <c r="C124">
        <v>2</v>
      </c>
      <c r="D124">
        <v>0</v>
      </c>
      <c r="E124">
        <v>0</v>
      </c>
      <c r="F124">
        <v>1765.45</v>
      </c>
    </row>
    <row r="125" spans="1:11" x14ac:dyDescent="0.3">
      <c r="A125" t="s">
        <v>11</v>
      </c>
      <c r="B125">
        <v>2001</v>
      </c>
      <c r="C125">
        <v>3</v>
      </c>
      <c r="D125">
        <v>0</v>
      </c>
      <c r="E125">
        <v>0</v>
      </c>
      <c r="F125">
        <v>1779.6</v>
      </c>
    </row>
    <row r="126" spans="1:11" x14ac:dyDescent="0.3">
      <c r="A126" t="s">
        <v>11</v>
      </c>
      <c r="B126">
        <v>7</v>
      </c>
      <c r="C126">
        <v>20</v>
      </c>
      <c r="D126">
        <v>6740505.6875</v>
      </c>
      <c r="E126">
        <v>0</v>
      </c>
      <c r="F126">
        <v>1794.33</v>
      </c>
      <c r="G126" t="s">
        <v>7</v>
      </c>
      <c r="H126">
        <v>60</v>
      </c>
      <c r="I126">
        <f t="shared" ref="I126:J128" si="19">D126/(C126+D126)</f>
        <v>0.99999703287237118</v>
      </c>
      <c r="J126" s="6">
        <f t="shared" si="19"/>
        <v>0</v>
      </c>
      <c r="K126" s="2">
        <f>(J126*$N$3)/$N$2</f>
        <v>0</v>
      </c>
    </row>
    <row r="127" spans="1:11" x14ac:dyDescent="0.3">
      <c r="A127" t="s">
        <v>11</v>
      </c>
      <c r="B127">
        <v>7</v>
      </c>
      <c r="C127">
        <v>22</v>
      </c>
      <c r="D127">
        <v>6525759.15234375</v>
      </c>
      <c r="E127">
        <v>0</v>
      </c>
      <c r="F127">
        <v>1809.03</v>
      </c>
      <c r="G127" t="s">
        <v>7</v>
      </c>
      <c r="H127">
        <v>60</v>
      </c>
      <c r="I127">
        <f t="shared" si="19"/>
        <v>0.99999662875608508</v>
      </c>
      <c r="J127" s="6">
        <f t="shared" si="19"/>
        <v>0</v>
      </c>
      <c r="K127" s="2">
        <f>(J127*$N$3)/$N$2</f>
        <v>0</v>
      </c>
    </row>
    <row r="128" spans="1:11" x14ac:dyDescent="0.3">
      <c r="A128" t="s">
        <v>11</v>
      </c>
      <c r="B128">
        <v>7</v>
      </c>
      <c r="C128">
        <v>24</v>
      </c>
      <c r="D128">
        <v>5268227.2607421903</v>
      </c>
      <c r="E128">
        <v>0</v>
      </c>
      <c r="F128">
        <v>1823.73</v>
      </c>
      <c r="G128" t="s">
        <v>7</v>
      </c>
      <c r="H128">
        <v>60</v>
      </c>
      <c r="I128">
        <f t="shared" si="19"/>
        <v>0.99999544440862587</v>
      </c>
      <c r="J128" s="6">
        <f t="shared" si="19"/>
        <v>0</v>
      </c>
      <c r="K128" s="2">
        <f>(J128*$N$3)/$N$2</f>
        <v>0</v>
      </c>
    </row>
    <row r="129" spans="1:11" x14ac:dyDescent="0.3">
      <c r="A129" t="s">
        <v>11</v>
      </c>
      <c r="B129">
        <v>2001</v>
      </c>
      <c r="C129">
        <v>2</v>
      </c>
      <c r="D129">
        <v>0</v>
      </c>
      <c r="E129">
        <v>0</v>
      </c>
      <c r="F129">
        <v>1838.09</v>
      </c>
    </row>
    <row r="130" spans="1:11" x14ac:dyDescent="0.3">
      <c r="A130" t="s">
        <v>11</v>
      </c>
      <c r="B130">
        <v>2001</v>
      </c>
      <c r="C130">
        <v>3</v>
      </c>
      <c r="D130">
        <v>0</v>
      </c>
      <c r="E130">
        <v>0</v>
      </c>
      <c r="F130">
        <v>1852.28</v>
      </c>
    </row>
    <row r="131" spans="1:11" x14ac:dyDescent="0.3">
      <c r="A131" t="s">
        <v>11</v>
      </c>
      <c r="B131">
        <v>2001</v>
      </c>
      <c r="C131">
        <v>2</v>
      </c>
      <c r="D131">
        <v>0</v>
      </c>
      <c r="E131">
        <v>0</v>
      </c>
      <c r="F131">
        <v>1866.72</v>
      </c>
    </row>
    <row r="132" spans="1:11" x14ac:dyDescent="0.3">
      <c r="A132" t="s">
        <v>11</v>
      </c>
      <c r="B132">
        <v>2001</v>
      </c>
      <c r="C132">
        <v>3</v>
      </c>
      <c r="D132">
        <v>0</v>
      </c>
      <c r="E132">
        <v>0</v>
      </c>
      <c r="F132">
        <v>1880.91</v>
      </c>
    </row>
    <row r="133" spans="1:11" x14ac:dyDescent="0.3">
      <c r="A133" t="s">
        <v>11</v>
      </c>
      <c r="B133">
        <v>6</v>
      </c>
      <c r="C133">
        <v>14</v>
      </c>
      <c r="D133">
        <v>47687.135253906301</v>
      </c>
      <c r="E133">
        <v>2696777.89453125</v>
      </c>
      <c r="F133">
        <v>1895.55</v>
      </c>
      <c r="G133" t="s">
        <v>6</v>
      </c>
      <c r="H133">
        <v>300</v>
      </c>
      <c r="I133">
        <f t="shared" ref="I133:J135" si="20">D133/(C133+D133)</f>
        <v>0.99970650593690313</v>
      </c>
      <c r="J133" s="6">
        <f t="shared" si="20"/>
        <v>0.98262425108851204</v>
      </c>
      <c r="K133" s="2">
        <f>(J133*$N$3)/$N$2</f>
        <v>3.3743883551396405</v>
      </c>
    </row>
    <row r="134" spans="1:11" x14ac:dyDescent="0.3">
      <c r="A134" t="s">
        <v>11</v>
      </c>
      <c r="B134">
        <v>6</v>
      </c>
      <c r="C134">
        <v>16</v>
      </c>
      <c r="D134">
        <v>58928.3642578125</v>
      </c>
      <c r="E134">
        <v>3519913.2480468801</v>
      </c>
      <c r="F134">
        <v>1910.28</v>
      </c>
      <c r="G134" t="s">
        <v>6</v>
      </c>
      <c r="H134">
        <v>300</v>
      </c>
      <c r="I134">
        <f t="shared" si="20"/>
        <v>0.99972855759492085</v>
      </c>
      <c r="J134" s="6">
        <f t="shared" si="20"/>
        <v>0.98353423519632543</v>
      </c>
      <c r="K134" s="2">
        <f>(J134*$N$3)/$N$2</f>
        <v>3.3775132930529543</v>
      </c>
    </row>
    <row r="135" spans="1:11" x14ac:dyDescent="0.3">
      <c r="A135" t="s">
        <v>11</v>
      </c>
      <c r="B135">
        <v>6</v>
      </c>
      <c r="C135">
        <v>18</v>
      </c>
      <c r="D135">
        <v>90817.3125</v>
      </c>
      <c r="E135">
        <v>4152328.296875</v>
      </c>
      <c r="F135">
        <v>1924.99</v>
      </c>
      <c r="G135" t="s">
        <v>6</v>
      </c>
      <c r="H135">
        <v>300</v>
      </c>
      <c r="I135">
        <f t="shared" si="20"/>
        <v>0.99980183918010956</v>
      </c>
      <c r="J135" s="6">
        <f t="shared" si="20"/>
        <v>0.97859670139545907</v>
      </c>
      <c r="K135" s="2">
        <f>(J135*$N$3)/$N$2</f>
        <v>3.3605575171881767</v>
      </c>
    </row>
    <row r="136" spans="1:11" x14ac:dyDescent="0.3">
      <c r="A136" t="s">
        <v>11</v>
      </c>
      <c r="B136">
        <v>2001</v>
      </c>
      <c r="C136">
        <v>2</v>
      </c>
      <c r="D136">
        <v>0</v>
      </c>
      <c r="E136">
        <v>121278.013183594</v>
      </c>
      <c r="F136">
        <v>1939.34</v>
      </c>
    </row>
    <row r="137" spans="1:11" x14ac:dyDescent="0.3">
      <c r="A137" t="s">
        <v>11</v>
      </c>
      <c r="B137">
        <v>2001</v>
      </c>
      <c r="C137">
        <v>3</v>
      </c>
      <c r="D137">
        <v>0</v>
      </c>
      <c r="E137">
        <v>0</v>
      </c>
      <c r="F137">
        <v>1953.55</v>
      </c>
    </row>
    <row r="138" spans="1:11" x14ac:dyDescent="0.3">
      <c r="A138" t="s">
        <v>11</v>
      </c>
      <c r="B138">
        <v>2001</v>
      </c>
      <c r="C138">
        <v>2</v>
      </c>
      <c r="D138">
        <v>0</v>
      </c>
      <c r="E138">
        <v>0</v>
      </c>
      <c r="F138">
        <v>1968.03</v>
      </c>
    </row>
    <row r="139" spans="1:11" x14ac:dyDescent="0.3">
      <c r="A139" t="s">
        <v>11</v>
      </c>
      <c r="B139">
        <v>2001</v>
      </c>
      <c r="C139">
        <v>3</v>
      </c>
      <c r="D139">
        <v>0</v>
      </c>
      <c r="E139">
        <v>0</v>
      </c>
      <c r="F139">
        <v>1982.21</v>
      </c>
    </row>
    <row r="140" spans="1:11" x14ac:dyDescent="0.3">
      <c r="A140" t="s">
        <v>11</v>
      </c>
      <c r="B140">
        <v>6</v>
      </c>
      <c r="C140">
        <v>20</v>
      </c>
      <c r="D140">
        <v>0</v>
      </c>
      <c r="E140">
        <v>0</v>
      </c>
      <c r="F140">
        <v>1996.9</v>
      </c>
      <c r="G140" t="s">
        <v>7</v>
      </c>
      <c r="H140">
        <v>300</v>
      </c>
      <c r="I140">
        <f t="shared" ref="I140:J142" si="21">D140/(C140+D140)</f>
        <v>0</v>
      </c>
      <c r="J140" s="6" t="e">
        <f t="shared" si="21"/>
        <v>#DIV/0!</v>
      </c>
      <c r="K140" s="2" t="e">
        <f>(J140*$N$3)/$N$2</f>
        <v>#DIV/0!</v>
      </c>
    </row>
    <row r="141" spans="1:11" x14ac:dyDescent="0.3">
      <c r="A141" t="s">
        <v>11</v>
      </c>
      <c r="B141">
        <v>6</v>
      </c>
      <c r="C141">
        <v>22</v>
      </c>
      <c r="D141">
        <v>680835.64990234398</v>
      </c>
      <c r="E141">
        <v>0</v>
      </c>
      <c r="F141">
        <v>2011.57</v>
      </c>
      <c r="G141" t="s">
        <v>7</v>
      </c>
      <c r="H141">
        <v>300</v>
      </c>
      <c r="I141">
        <f t="shared" si="21"/>
        <v>0.99996768781256529</v>
      </c>
      <c r="J141" s="6">
        <f t="shared" si="21"/>
        <v>0</v>
      </c>
      <c r="K141" s="2">
        <f>(J141*$N$3)/$N$2</f>
        <v>0</v>
      </c>
    </row>
    <row r="142" spans="1:11" x14ac:dyDescent="0.3">
      <c r="A142" t="s">
        <v>11</v>
      </c>
      <c r="B142">
        <v>6</v>
      </c>
      <c r="C142">
        <v>24</v>
      </c>
      <c r="D142">
        <v>42495.718261718801</v>
      </c>
      <c r="E142">
        <v>0</v>
      </c>
      <c r="F142">
        <v>2026.3</v>
      </c>
      <c r="G142" t="s">
        <v>7</v>
      </c>
      <c r="H142">
        <v>300</v>
      </c>
      <c r="I142">
        <f t="shared" si="21"/>
        <v>0.99943555599657852</v>
      </c>
      <c r="J142" s="6">
        <f t="shared" si="21"/>
        <v>0</v>
      </c>
      <c r="K142" s="2">
        <f>(J142*$N$3)/$N$2</f>
        <v>0</v>
      </c>
    </row>
    <row r="143" spans="1:11" x14ac:dyDescent="0.3">
      <c r="A143" t="s">
        <v>11</v>
      </c>
      <c r="B143">
        <v>2001</v>
      </c>
      <c r="C143">
        <v>2</v>
      </c>
      <c r="D143">
        <v>0</v>
      </c>
      <c r="E143">
        <v>0</v>
      </c>
      <c r="F143">
        <v>2040.64</v>
      </c>
    </row>
    <row r="144" spans="1:11" x14ac:dyDescent="0.3">
      <c r="A144" t="s">
        <v>11</v>
      </c>
      <c r="B144">
        <v>2001</v>
      </c>
      <c r="C144">
        <v>3</v>
      </c>
      <c r="D144">
        <v>0</v>
      </c>
      <c r="E144">
        <v>0</v>
      </c>
      <c r="F144">
        <v>2054.92</v>
      </c>
    </row>
    <row r="145" spans="1:6" x14ac:dyDescent="0.3">
      <c r="A145" t="s">
        <v>11</v>
      </c>
      <c r="B145">
        <v>2001</v>
      </c>
      <c r="C145">
        <v>2</v>
      </c>
      <c r="D145">
        <v>0</v>
      </c>
      <c r="E145">
        <v>0</v>
      </c>
      <c r="F145">
        <v>2069.2399999999998</v>
      </c>
    </row>
    <row r="146" spans="1:6" x14ac:dyDescent="0.3">
      <c r="A146" t="s">
        <v>11</v>
      </c>
      <c r="B146">
        <v>2001</v>
      </c>
      <c r="C146">
        <v>3</v>
      </c>
      <c r="D146">
        <v>0</v>
      </c>
      <c r="E146">
        <v>0</v>
      </c>
      <c r="F146">
        <v>2083.58</v>
      </c>
    </row>
    <row r="147" spans="1:6" x14ac:dyDescent="0.3">
      <c r="A147" t="s">
        <v>11</v>
      </c>
      <c r="B147">
        <v>2001</v>
      </c>
      <c r="C147">
        <v>2</v>
      </c>
      <c r="D147">
        <v>0</v>
      </c>
      <c r="E147">
        <v>0</v>
      </c>
      <c r="F147">
        <v>2097.87</v>
      </c>
    </row>
    <row r="148" spans="1:6" x14ac:dyDescent="0.3">
      <c r="A148" t="s">
        <v>11</v>
      </c>
      <c r="B148">
        <v>2001</v>
      </c>
      <c r="C148">
        <v>3</v>
      </c>
      <c r="D148">
        <v>0</v>
      </c>
      <c r="E148">
        <v>0</v>
      </c>
      <c r="F148">
        <v>2112.06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7C5F-BD72-449C-9B15-04505BF7789B}">
  <dimension ref="A1:S174"/>
  <sheetViews>
    <sheetView zoomScaleNormal="100" workbookViewId="0">
      <selection activeCell="R9" sqref="R9:S20"/>
    </sheetView>
  </sheetViews>
  <sheetFormatPr defaultRowHeight="14.4" x14ac:dyDescent="0.3"/>
  <cols>
    <col min="10" max="10" width="8.88671875" style="6"/>
    <col min="14" max="15" width="9.33203125" bestFit="1" customWidth="1"/>
    <col min="19" max="19" width="9.33203125" bestFit="1" customWidth="1"/>
  </cols>
  <sheetData>
    <row r="1" spans="1:19" x14ac:dyDescent="0.3">
      <c r="A1" t="s">
        <v>10</v>
      </c>
    </row>
    <row r="2" spans="1:19" x14ac:dyDescent="0.3">
      <c r="A2" t="s">
        <v>0</v>
      </c>
      <c r="B2" t="s">
        <v>1</v>
      </c>
      <c r="C2" t="s">
        <v>2</v>
      </c>
      <c r="D2">
        <v>1442.73</v>
      </c>
      <c r="E2">
        <v>1474.73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 s="2">
        <v>3.8700000000000002E-3</v>
      </c>
    </row>
    <row r="3" spans="1:19" x14ac:dyDescent="0.3">
      <c r="A3" t="s">
        <v>11</v>
      </c>
      <c r="B3">
        <v>2001</v>
      </c>
      <c r="C3">
        <v>2</v>
      </c>
      <c r="D3">
        <v>0</v>
      </c>
      <c r="E3">
        <v>0</v>
      </c>
      <c r="F3">
        <v>2.54</v>
      </c>
      <c r="M3" t="s">
        <v>15</v>
      </c>
      <c r="N3" s="2">
        <v>8.9999999999999993E-3</v>
      </c>
    </row>
    <row r="4" spans="1:19" x14ac:dyDescent="0.3">
      <c r="A4" t="s">
        <v>11</v>
      </c>
      <c r="B4">
        <v>2001</v>
      </c>
      <c r="C4">
        <v>3</v>
      </c>
      <c r="D4">
        <v>0</v>
      </c>
      <c r="E4">
        <v>0</v>
      </c>
      <c r="F4">
        <v>16.72</v>
      </c>
    </row>
    <row r="5" spans="1:19" x14ac:dyDescent="0.3">
      <c r="A5" t="s">
        <v>11</v>
      </c>
      <c r="B5">
        <v>2001</v>
      </c>
      <c r="C5">
        <v>2</v>
      </c>
      <c r="D5">
        <v>0</v>
      </c>
      <c r="E5">
        <v>0</v>
      </c>
      <c r="F5">
        <v>31.03</v>
      </c>
    </row>
    <row r="6" spans="1:19" x14ac:dyDescent="0.3">
      <c r="A6" t="s">
        <v>11</v>
      </c>
      <c r="B6">
        <v>2001</v>
      </c>
      <c r="C6">
        <v>3</v>
      </c>
      <c r="D6">
        <v>0</v>
      </c>
      <c r="E6">
        <v>0</v>
      </c>
      <c r="F6">
        <v>45.26</v>
      </c>
    </row>
    <row r="7" spans="1:19" ht="15.6" x14ac:dyDescent="0.3">
      <c r="A7" t="s">
        <v>11</v>
      </c>
      <c r="B7">
        <v>2001</v>
      </c>
      <c r="C7">
        <v>2</v>
      </c>
      <c r="D7">
        <v>0</v>
      </c>
      <c r="E7">
        <v>0</v>
      </c>
      <c r="F7">
        <v>59.74</v>
      </c>
      <c r="K7" s="2"/>
      <c r="M7" s="3"/>
      <c r="N7" s="4" t="s">
        <v>17</v>
      </c>
      <c r="O7" s="3"/>
      <c r="Q7" s="3"/>
      <c r="R7" s="4" t="s">
        <v>17</v>
      </c>
      <c r="S7" s="3"/>
    </row>
    <row r="8" spans="1:19" ht="15.6" x14ac:dyDescent="0.3">
      <c r="A8" t="s">
        <v>11</v>
      </c>
      <c r="B8">
        <v>2001</v>
      </c>
      <c r="C8">
        <v>3</v>
      </c>
      <c r="D8">
        <v>0</v>
      </c>
      <c r="E8">
        <v>0</v>
      </c>
      <c r="F8">
        <v>73.97</v>
      </c>
      <c r="K8" s="2"/>
      <c r="M8" s="4" t="s">
        <v>18</v>
      </c>
      <c r="N8" s="4" t="s">
        <v>13</v>
      </c>
      <c r="O8" s="3" t="s">
        <v>19</v>
      </c>
      <c r="Q8" s="4" t="s">
        <v>18</v>
      </c>
      <c r="R8" s="4" t="s">
        <v>20</v>
      </c>
      <c r="S8" s="3" t="s">
        <v>19</v>
      </c>
    </row>
    <row r="9" spans="1:19" ht="15.6" x14ac:dyDescent="0.3">
      <c r="A9" t="s">
        <v>11</v>
      </c>
      <c r="B9">
        <v>16</v>
      </c>
      <c r="C9">
        <v>1</v>
      </c>
      <c r="D9">
        <v>12194508.4960938</v>
      </c>
      <c r="E9">
        <v>0</v>
      </c>
      <c r="F9">
        <v>88.84</v>
      </c>
      <c r="G9" t="s">
        <v>7</v>
      </c>
      <c r="H9">
        <v>0</v>
      </c>
      <c r="I9">
        <f t="shared" ref="I9:J11" si="0">D9/(C9+D9)</f>
        <v>0.99999991799588162</v>
      </c>
      <c r="J9" s="6">
        <f t="shared" si="0"/>
        <v>0</v>
      </c>
      <c r="K9" s="2">
        <f>(J9*$N$3)/$N$2</f>
        <v>0</v>
      </c>
      <c r="M9" s="3">
        <v>0</v>
      </c>
      <c r="N9" s="5">
        <f>AVERAGE(K14:K16)</f>
        <v>0</v>
      </c>
      <c r="O9" s="5">
        <f>STDEV(K14:K16)</f>
        <v>0</v>
      </c>
      <c r="Q9" s="3">
        <v>0</v>
      </c>
      <c r="R9" s="7">
        <f>AVERAGE(J14:J16)</f>
        <v>0</v>
      </c>
      <c r="S9" s="5">
        <f>STDEV(J14:J16)</f>
        <v>0</v>
      </c>
    </row>
    <row r="10" spans="1:19" ht="15.6" x14ac:dyDescent="0.3">
      <c r="A10" t="s">
        <v>11</v>
      </c>
      <c r="B10">
        <v>16</v>
      </c>
      <c r="C10">
        <v>3</v>
      </c>
      <c r="D10">
        <v>11898045.299804701</v>
      </c>
      <c r="E10">
        <v>0</v>
      </c>
      <c r="F10">
        <v>103.71</v>
      </c>
      <c r="G10" t="s">
        <v>7</v>
      </c>
      <c r="H10">
        <v>0</v>
      </c>
      <c r="I10">
        <f t="shared" si="0"/>
        <v>0.99999974785780621</v>
      </c>
      <c r="J10" s="6">
        <f t="shared" si="0"/>
        <v>0</v>
      </c>
      <c r="K10" s="2">
        <f>(J10*$N$3)/$N$2</f>
        <v>0</v>
      </c>
      <c r="M10" s="3">
        <v>0.5</v>
      </c>
      <c r="N10" s="5">
        <f>AVERAGE(K26:K28)</f>
        <v>0</v>
      </c>
      <c r="O10" s="5">
        <f>STDEV(K26:K28)</f>
        <v>0</v>
      </c>
      <c r="Q10" s="3">
        <v>0.5</v>
      </c>
      <c r="R10" s="7">
        <f>AVERAGE(J26:J28)</f>
        <v>0</v>
      </c>
      <c r="S10" s="5">
        <f>STDEV(J26:J28)</f>
        <v>0</v>
      </c>
    </row>
    <row r="11" spans="1:19" ht="15.6" x14ac:dyDescent="0.3">
      <c r="A11" t="s">
        <v>11</v>
      </c>
      <c r="B11">
        <v>16</v>
      </c>
      <c r="C11">
        <v>5</v>
      </c>
      <c r="D11">
        <v>11731213.521484399</v>
      </c>
      <c r="E11">
        <v>0</v>
      </c>
      <c r="F11">
        <v>118.66</v>
      </c>
      <c r="G11" t="s">
        <v>7</v>
      </c>
      <c r="H11">
        <v>0</v>
      </c>
      <c r="I11">
        <f t="shared" si="0"/>
        <v>0.99999957378681581</v>
      </c>
      <c r="J11" s="6">
        <f t="shared" si="0"/>
        <v>0</v>
      </c>
      <c r="K11" s="2">
        <f>(J11*$N$3)/$N$2</f>
        <v>0</v>
      </c>
      <c r="M11" s="3">
        <v>1</v>
      </c>
      <c r="N11" s="5">
        <f>AVERAGE(K38:K40)</f>
        <v>0</v>
      </c>
      <c r="O11" s="5">
        <f>STDEV(K38:K40)</f>
        <v>0</v>
      </c>
      <c r="Q11" s="3">
        <v>1</v>
      </c>
      <c r="R11" s="7">
        <f>AVERAGE(J38:J40)</f>
        <v>0</v>
      </c>
      <c r="S11" s="5">
        <f>STDEV(J38:J40)</f>
        <v>0</v>
      </c>
    </row>
    <row r="12" spans="1:19" ht="15.6" x14ac:dyDescent="0.3">
      <c r="A12" t="s">
        <v>11</v>
      </c>
      <c r="B12">
        <v>2001</v>
      </c>
      <c r="C12">
        <v>2</v>
      </c>
      <c r="D12">
        <v>0</v>
      </c>
      <c r="E12">
        <v>0</v>
      </c>
      <c r="F12">
        <v>133.11000000000001</v>
      </c>
      <c r="M12" s="3">
        <v>1.5</v>
      </c>
      <c r="N12" s="5">
        <f>AVERAGE(K50:K52)</f>
        <v>0</v>
      </c>
      <c r="O12" s="5">
        <f>STDEV(K50:K52)</f>
        <v>0</v>
      </c>
      <c r="Q12" s="3">
        <v>1.5</v>
      </c>
      <c r="R12" s="7">
        <f>AVERAGE(J50:J52)</f>
        <v>0</v>
      </c>
      <c r="S12" s="5">
        <f>STDEV(J50:J52)</f>
        <v>0</v>
      </c>
    </row>
    <row r="13" spans="1:19" ht="15.6" x14ac:dyDescent="0.3">
      <c r="A13" t="s">
        <v>11</v>
      </c>
      <c r="B13">
        <v>2001</v>
      </c>
      <c r="C13">
        <v>3</v>
      </c>
      <c r="D13">
        <v>0</v>
      </c>
      <c r="E13">
        <v>0</v>
      </c>
      <c r="F13">
        <v>147.29</v>
      </c>
      <c r="M13" s="3">
        <v>3</v>
      </c>
      <c r="N13" s="5">
        <f>AVERAGE(K62:K64)</f>
        <v>0</v>
      </c>
      <c r="O13" s="5">
        <f>STDEV(K62:K64)</f>
        <v>0</v>
      </c>
      <c r="Q13" s="3">
        <v>3</v>
      </c>
      <c r="R13" s="7">
        <f>AVERAGE(J62:J64)</f>
        <v>0</v>
      </c>
      <c r="S13" s="5">
        <f>STDEV(J62:J64)</f>
        <v>0</v>
      </c>
    </row>
    <row r="14" spans="1:19" ht="15.6" x14ac:dyDescent="0.3">
      <c r="A14" t="s">
        <v>11</v>
      </c>
      <c r="B14">
        <v>16</v>
      </c>
      <c r="C14">
        <v>7</v>
      </c>
      <c r="D14">
        <v>11585407.921875</v>
      </c>
      <c r="E14">
        <v>0</v>
      </c>
      <c r="F14">
        <v>162.11000000000001</v>
      </c>
      <c r="G14" t="s">
        <v>6</v>
      </c>
      <c r="H14">
        <v>0</v>
      </c>
      <c r="I14">
        <f t="shared" ref="I14:J16" si="1">D14/(C14+D14)</f>
        <v>0.99999939579203267</v>
      </c>
      <c r="J14" s="6">
        <f t="shared" si="1"/>
        <v>0</v>
      </c>
      <c r="K14" s="2">
        <f>(J14*$N$3)/$N$2</f>
        <v>0</v>
      </c>
      <c r="M14" s="3">
        <v>5</v>
      </c>
      <c r="N14" s="5">
        <f>AVERAGE(K74:K76)</f>
        <v>0</v>
      </c>
      <c r="O14" s="5">
        <f>STDEV(K74:K76)</f>
        <v>0</v>
      </c>
      <c r="Q14" s="3">
        <v>5</v>
      </c>
      <c r="R14" s="7">
        <f>AVERAGE(J74:J76)</f>
        <v>0</v>
      </c>
      <c r="S14" s="5">
        <f>STDEV(J74:J76)</f>
        <v>0</v>
      </c>
    </row>
    <row r="15" spans="1:19" ht="15.6" x14ac:dyDescent="0.3">
      <c r="A15" t="s">
        <v>11</v>
      </c>
      <c r="B15">
        <v>16</v>
      </c>
      <c r="C15">
        <v>9</v>
      </c>
      <c r="D15">
        <v>11266045.1601563</v>
      </c>
      <c r="E15">
        <v>0</v>
      </c>
      <c r="F15">
        <v>177.06</v>
      </c>
      <c r="G15" t="s">
        <v>6</v>
      </c>
      <c r="H15">
        <v>0</v>
      </c>
      <c r="I15">
        <f t="shared" si="1"/>
        <v>0.99999920114000229</v>
      </c>
      <c r="J15" s="6">
        <f t="shared" si="1"/>
        <v>0</v>
      </c>
      <c r="K15" s="2">
        <f>(J15*$N$3)/$N$2</f>
        <v>0</v>
      </c>
      <c r="M15" s="3">
        <v>10</v>
      </c>
      <c r="N15" s="5">
        <f>AVERAGE(K86:K88)</f>
        <v>0</v>
      </c>
      <c r="O15" s="5">
        <f>STDEV(K86:K88)</f>
        <v>0</v>
      </c>
      <c r="Q15" s="3">
        <v>10</v>
      </c>
      <c r="R15" s="7">
        <f>AVERAGE(J86:J88)</f>
        <v>0</v>
      </c>
      <c r="S15" s="5">
        <f>STDEV(J86:J88)</f>
        <v>0</v>
      </c>
    </row>
    <row r="16" spans="1:19" ht="15.6" x14ac:dyDescent="0.3">
      <c r="A16" t="s">
        <v>11</v>
      </c>
      <c r="B16">
        <v>16</v>
      </c>
      <c r="C16">
        <v>11</v>
      </c>
      <c r="D16">
        <v>12086070.291015601</v>
      </c>
      <c r="E16">
        <v>0</v>
      </c>
      <c r="F16">
        <v>192.01</v>
      </c>
      <c r="G16" t="s">
        <v>6</v>
      </c>
      <c r="H16">
        <v>0</v>
      </c>
      <c r="I16">
        <f t="shared" si="1"/>
        <v>0.99999908986215336</v>
      </c>
      <c r="J16" s="6">
        <f t="shared" si="1"/>
        <v>0</v>
      </c>
      <c r="K16" s="2">
        <f>(J16*$N$3)/$N$2</f>
        <v>0</v>
      </c>
      <c r="M16" s="3">
        <v>20</v>
      </c>
      <c r="N16" s="5">
        <f>AVERAGE(K98:K100)</f>
        <v>0</v>
      </c>
      <c r="O16" s="5">
        <f>STDEV(K98:K100)</f>
        <v>0</v>
      </c>
      <c r="Q16" s="3">
        <v>20</v>
      </c>
      <c r="R16" s="7">
        <f>AVERAGE(J98:J100)</f>
        <v>0</v>
      </c>
      <c r="S16" s="5">
        <f>STDEV(J98:J100)</f>
        <v>0</v>
      </c>
    </row>
    <row r="17" spans="1:19" ht="15.6" x14ac:dyDescent="0.3">
      <c r="A17" t="s">
        <v>11</v>
      </c>
      <c r="B17">
        <v>2001</v>
      </c>
      <c r="C17">
        <v>2</v>
      </c>
      <c r="D17">
        <v>0</v>
      </c>
      <c r="E17">
        <v>0</v>
      </c>
      <c r="F17">
        <v>206.47</v>
      </c>
      <c r="M17" s="3">
        <v>40</v>
      </c>
      <c r="N17" s="5">
        <f>AVERAGE(K114:K116)</f>
        <v>0</v>
      </c>
      <c r="O17" s="5">
        <f>STDEV(K114:K116)</f>
        <v>0</v>
      </c>
      <c r="Q17" s="3">
        <v>40</v>
      </c>
      <c r="R17" s="7">
        <f>AVERAGE(J114:J116)</f>
        <v>0</v>
      </c>
      <c r="S17" s="5">
        <f>STDEV(J114:J116)</f>
        <v>0</v>
      </c>
    </row>
    <row r="18" spans="1:19" ht="15.6" x14ac:dyDescent="0.3">
      <c r="A18" t="s">
        <v>11</v>
      </c>
      <c r="B18">
        <v>2001</v>
      </c>
      <c r="C18">
        <v>3</v>
      </c>
      <c r="D18">
        <v>0</v>
      </c>
      <c r="E18">
        <v>0</v>
      </c>
      <c r="F18">
        <v>220.66</v>
      </c>
      <c r="M18" s="3">
        <v>60</v>
      </c>
      <c r="N18" s="5">
        <f>AVERAGE(K128:K130)</f>
        <v>4.2541657067930753E-3</v>
      </c>
      <c r="O18" s="5">
        <f>STDEV(K128:K130)</f>
        <v>1.7884208235834152E-3</v>
      </c>
      <c r="Q18" s="3">
        <v>60</v>
      </c>
      <c r="R18" s="7">
        <f>AVERAGE(J128:J130)</f>
        <v>1.8292912539210227E-3</v>
      </c>
      <c r="S18" s="5">
        <f>STDEV(J128:J130)</f>
        <v>7.6902095414086878E-4</v>
      </c>
    </row>
    <row r="19" spans="1:19" ht="15.6" x14ac:dyDescent="0.3">
      <c r="A19" t="s">
        <v>11</v>
      </c>
      <c r="B19">
        <v>2001</v>
      </c>
      <c r="C19">
        <v>2</v>
      </c>
      <c r="D19">
        <v>0</v>
      </c>
      <c r="E19">
        <v>0</v>
      </c>
      <c r="F19">
        <v>234.97</v>
      </c>
      <c r="M19" s="3">
        <v>90</v>
      </c>
      <c r="N19" s="5">
        <f>AVERAGE(K142:K144)</f>
        <v>9.4248987665646669E-3</v>
      </c>
      <c r="O19" s="5">
        <f>STDEV(K142:K144)</f>
        <v>1.8820150596574967E-3</v>
      </c>
      <c r="Q19" s="3">
        <v>90</v>
      </c>
      <c r="R19" s="7">
        <f>AVERAGE(J142:J144)</f>
        <v>4.0527064696228082E-3</v>
      </c>
      <c r="S19" s="5">
        <f>STDEV(J142:J144)</f>
        <v>8.092664756527237E-4</v>
      </c>
    </row>
    <row r="20" spans="1:19" ht="15.6" x14ac:dyDescent="0.3">
      <c r="A20" t="s">
        <v>11</v>
      </c>
      <c r="B20">
        <v>2001</v>
      </c>
      <c r="C20">
        <v>3</v>
      </c>
      <c r="D20">
        <v>0</v>
      </c>
      <c r="E20">
        <v>0</v>
      </c>
      <c r="F20">
        <v>249.18</v>
      </c>
      <c r="M20" s="3">
        <v>120</v>
      </c>
      <c r="N20" s="2">
        <f>AVERAGE(K156:K158)</f>
        <v>1.6392712318154527E-2</v>
      </c>
      <c r="O20" s="5">
        <f>STDEV(K156:K158)</f>
        <v>8.5524927293653111E-4</v>
      </c>
      <c r="Q20" s="3">
        <v>120</v>
      </c>
      <c r="R20" s="6">
        <f>AVERAGE(J156:J158)</f>
        <v>7.0488662968064475E-3</v>
      </c>
      <c r="S20" s="5">
        <f>STDEV(J156:J158)</f>
        <v>3.6775718736270854E-4</v>
      </c>
    </row>
    <row r="21" spans="1:19" x14ac:dyDescent="0.3">
      <c r="A21" t="s">
        <v>11</v>
      </c>
      <c r="B21">
        <v>15</v>
      </c>
      <c r="C21">
        <v>1</v>
      </c>
      <c r="D21">
        <v>10881530.474609399</v>
      </c>
      <c r="E21">
        <v>0</v>
      </c>
      <c r="F21">
        <v>264.13</v>
      </c>
      <c r="G21" t="s">
        <v>7</v>
      </c>
      <c r="H21">
        <v>0.5</v>
      </c>
      <c r="I21">
        <f t="shared" ref="I21:J23" si="2">D21/(C21+D21)</f>
        <v>0.99999990810117101</v>
      </c>
      <c r="J21" s="6">
        <f t="shared" si="2"/>
        <v>0</v>
      </c>
      <c r="K21" s="2">
        <f>(J21*$N$3)/$N$2</f>
        <v>0</v>
      </c>
      <c r="M21" t="s">
        <v>22</v>
      </c>
    </row>
    <row r="22" spans="1:19" x14ac:dyDescent="0.3">
      <c r="A22" t="s">
        <v>11</v>
      </c>
      <c r="B22">
        <v>15</v>
      </c>
      <c r="C22">
        <v>3</v>
      </c>
      <c r="D22">
        <v>10581670.203125</v>
      </c>
      <c r="E22">
        <v>0</v>
      </c>
      <c r="F22">
        <v>278.97000000000003</v>
      </c>
      <c r="G22" t="s">
        <v>7</v>
      </c>
      <c r="H22">
        <v>0.5</v>
      </c>
      <c r="I22">
        <f t="shared" si="2"/>
        <v>0.99999971649096109</v>
      </c>
      <c r="J22" s="6">
        <f t="shared" si="2"/>
        <v>0</v>
      </c>
      <c r="K22" s="2">
        <f>(J22*$N$3)/$N$2</f>
        <v>0</v>
      </c>
    </row>
    <row r="23" spans="1:19" x14ac:dyDescent="0.3">
      <c r="A23" t="s">
        <v>11</v>
      </c>
      <c r="B23">
        <v>15</v>
      </c>
      <c r="C23">
        <v>5</v>
      </c>
      <c r="D23">
        <v>10672077.796875</v>
      </c>
      <c r="E23">
        <v>0</v>
      </c>
      <c r="F23">
        <v>293.94</v>
      </c>
      <c r="G23" t="s">
        <v>7</v>
      </c>
      <c r="H23">
        <v>0.5</v>
      </c>
      <c r="I23">
        <f t="shared" si="2"/>
        <v>0.99999953148789278</v>
      </c>
      <c r="J23" s="6">
        <f t="shared" si="2"/>
        <v>0</v>
      </c>
      <c r="K23" s="2">
        <f>(J23*$N$3)/$N$2</f>
        <v>0</v>
      </c>
    </row>
    <row r="24" spans="1:19" x14ac:dyDescent="0.3">
      <c r="A24" t="s">
        <v>11</v>
      </c>
      <c r="B24">
        <v>2001</v>
      </c>
      <c r="C24">
        <v>2</v>
      </c>
      <c r="D24">
        <v>0</v>
      </c>
      <c r="E24">
        <v>0</v>
      </c>
      <c r="F24">
        <v>308.41000000000003</v>
      </c>
    </row>
    <row r="25" spans="1:19" x14ac:dyDescent="0.3">
      <c r="A25" t="s">
        <v>11</v>
      </c>
      <c r="B25">
        <v>2001</v>
      </c>
      <c r="C25">
        <v>3</v>
      </c>
      <c r="D25">
        <v>0</v>
      </c>
      <c r="E25">
        <v>0</v>
      </c>
      <c r="F25">
        <v>322.58999999999997</v>
      </c>
    </row>
    <row r="26" spans="1:19" x14ac:dyDescent="0.3">
      <c r="A26" t="s">
        <v>11</v>
      </c>
      <c r="B26">
        <v>15</v>
      </c>
      <c r="C26">
        <v>7</v>
      </c>
      <c r="D26">
        <v>10724462.5234375</v>
      </c>
      <c r="E26">
        <v>0</v>
      </c>
      <c r="F26">
        <v>337.44</v>
      </c>
      <c r="G26" t="s">
        <v>6</v>
      </c>
      <c r="H26">
        <v>0.5</v>
      </c>
      <c r="I26">
        <f t="shared" ref="I26:J28" si="3">D26/(C26+D26)</f>
        <v>0.99999934728706308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11</v>
      </c>
      <c r="B27">
        <v>15</v>
      </c>
      <c r="C27">
        <v>9</v>
      </c>
      <c r="D27">
        <v>10272411.643554701</v>
      </c>
      <c r="E27">
        <v>0</v>
      </c>
      <c r="F27">
        <v>352.44</v>
      </c>
      <c r="G27" t="s">
        <v>6</v>
      </c>
      <c r="H27">
        <v>0.5</v>
      </c>
      <c r="I27">
        <f t="shared" si="3"/>
        <v>0.99999912386765377</v>
      </c>
      <c r="J27" s="6">
        <f t="shared" si="3"/>
        <v>0</v>
      </c>
      <c r="K27" s="2">
        <f>(J27*$N$3)/$N$2</f>
        <v>0</v>
      </c>
    </row>
    <row r="28" spans="1:19" x14ac:dyDescent="0.3">
      <c r="A28" t="s">
        <v>11</v>
      </c>
      <c r="B28">
        <v>15</v>
      </c>
      <c r="C28">
        <v>11</v>
      </c>
      <c r="D28">
        <v>10711393.553222699</v>
      </c>
      <c r="E28">
        <v>0</v>
      </c>
      <c r="F28">
        <v>367.33</v>
      </c>
      <c r="G28" t="s">
        <v>6</v>
      </c>
      <c r="H28">
        <v>0.5</v>
      </c>
      <c r="I28">
        <f t="shared" si="3"/>
        <v>0.99999897305717977</v>
      </c>
      <c r="J28" s="6">
        <f t="shared" si="3"/>
        <v>0</v>
      </c>
      <c r="K28" s="2">
        <f>(J28*$N$3)/$N$2</f>
        <v>0</v>
      </c>
    </row>
    <row r="29" spans="1:19" x14ac:dyDescent="0.3">
      <c r="A29" t="s">
        <v>11</v>
      </c>
      <c r="B29">
        <v>2001</v>
      </c>
      <c r="C29">
        <v>2</v>
      </c>
      <c r="D29">
        <v>0</v>
      </c>
      <c r="E29">
        <v>0</v>
      </c>
      <c r="F29">
        <v>381.77</v>
      </c>
    </row>
    <row r="30" spans="1:19" x14ac:dyDescent="0.3">
      <c r="A30" t="s">
        <v>11</v>
      </c>
      <c r="B30">
        <v>2001</v>
      </c>
      <c r="C30">
        <v>3</v>
      </c>
      <c r="D30">
        <v>0</v>
      </c>
      <c r="E30">
        <v>0</v>
      </c>
      <c r="F30">
        <v>395.98</v>
      </c>
    </row>
    <row r="31" spans="1:19" x14ac:dyDescent="0.3">
      <c r="A31" t="s">
        <v>11</v>
      </c>
      <c r="B31">
        <v>2001</v>
      </c>
      <c r="C31">
        <v>2</v>
      </c>
      <c r="D31">
        <v>0</v>
      </c>
      <c r="E31">
        <v>0</v>
      </c>
      <c r="F31">
        <v>410.38</v>
      </c>
    </row>
    <row r="32" spans="1:19" x14ac:dyDescent="0.3">
      <c r="A32" t="s">
        <v>11</v>
      </c>
      <c r="B32">
        <v>2001</v>
      </c>
      <c r="C32">
        <v>3</v>
      </c>
      <c r="D32">
        <v>0</v>
      </c>
      <c r="E32">
        <v>0</v>
      </c>
      <c r="F32">
        <v>424.58</v>
      </c>
    </row>
    <row r="33" spans="1:11" x14ac:dyDescent="0.3">
      <c r="A33" t="s">
        <v>11</v>
      </c>
      <c r="B33">
        <v>14</v>
      </c>
      <c r="C33">
        <v>1</v>
      </c>
      <c r="D33">
        <v>10850714.4462891</v>
      </c>
      <c r="E33">
        <v>0</v>
      </c>
      <c r="F33">
        <v>439.44</v>
      </c>
      <c r="G33" t="s">
        <v>7</v>
      </c>
      <c r="H33">
        <v>1</v>
      </c>
      <c r="I33">
        <f t="shared" ref="I33:J35" si="4">D33/(C33+D33)</f>
        <v>0.99999990784017834</v>
      </c>
      <c r="J33" s="6">
        <f t="shared" si="4"/>
        <v>0</v>
      </c>
      <c r="K33" s="2">
        <f>(J33*$N$3)/$N$2</f>
        <v>0</v>
      </c>
    </row>
    <row r="34" spans="1:11" x14ac:dyDescent="0.3">
      <c r="A34" t="s">
        <v>11</v>
      </c>
      <c r="B34">
        <v>14</v>
      </c>
      <c r="C34">
        <v>3</v>
      </c>
      <c r="D34">
        <v>10539894.293945299</v>
      </c>
      <c r="E34">
        <v>0</v>
      </c>
      <c r="F34">
        <v>454.41</v>
      </c>
      <c r="G34" t="s">
        <v>7</v>
      </c>
      <c r="H34">
        <v>1</v>
      </c>
      <c r="I34">
        <f t="shared" si="4"/>
        <v>0.99999971536724541</v>
      </c>
      <c r="J34" s="6">
        <f t="shared" si="4"/>
        <v>0</v>
      </c>
      <c r="K34" s="2">
        <f>(J34*$N$3)/$N$2</f>
        <v>0</v>
      </c>
    </row>
    <row r="35" spans="1:11" x14ac:dyDescent="0.3">
      <c r="A35" t="s">
        <v>11</v>
      </c>
      <c r="B35">
        <v>14</v>
      </c>
      <c r="C35">
        <v>5</v>
      </c>
      <c r="D35">
        <v>10273534.049316401</v>
      </c>
      <c r="E35">
        <v>0</v>
      </c>
      <c r="F35">
        <v>469.27</v>
      </c>
      <c r="G35" t="s">
        <v>7</v>
      </c>
      <c r="H35">
        <v>1</v>
      </c>
      <c r="I35">
        <f t="shared" si="4"/>
        <v>0.99999951331279557</v>
      </c>
      <c r="J35" s="6">
        <f t="shared" si="4"/>
        <v>0</v>
      </c>
      <c r="K35" s="2">
        <f>(J35*$N$3)/$N$2</f>
        <v>0</v>
      </c>
    </row>
    <row r="36" spans="1:11" x14ac:dyDescent="0.3">
      <c r="A36" t="s">
        <v>11</v>
      </c>
      <c r="B36">
        <v>2001</v>
      </c>
      <c r="C36">
        <v>2</v>
      </c>
      <c r="D36">
        <v>0</v>
      </c>
      <c r="E36">
        <v>0</v>
      </c>
      <c r="F36">
        <v>483.75</v>
      </c>
    </row>
    <row r="37" spans="1:11" x14ac:dyDescent="0.3">
      <c r="A37" t="s">
        <v>11</v>
      </c>
      <c r="B37">
        <v>2001</v>
      </c>
      <c r="C37">
        <v>3</v>
      </c>
      <c r="D37">
        <v>0</v>
      </c>
      <c r="E37">
        <v>0</v>
      </c>
      <c r="F37">
        <v>497.94</v>
      </c>
    </row>
    <row r="38" spans="1:11" x14ac:dyDescent="0.3">
      <c r="A38" t="s">
        <v>11</v>
      </c>
      <c r="B38">
        <v>14</v>
      </c>
      <c r="C38">
        <v>7</v>
      </c>
      <c r="D38">
        <v>10738608.236328101</v>
      </c>
      <c r="E38">
        <v>0</v>
      </c>
      <c r="F38">
        <v>512.79999999999995</v>
      </c>
      <c r="G38" t="s">
        <v>6</v>
      </c>
      <c r="H38">
        <v>1</v>
      </c>
      <c r="I38">
        <f t="shared" ref="I38:J40" si="5">D38/(C38+D38)</f>
        <v>0.99999934814686564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11</v>
      </c>
      <c r="B39">
        <v>14</v>
      </c>
      <c r="C39">
        <v>9</v>
      </c>
      <c r="D39">
        <v>10416780.0820313</v>
      </c>
      <c r="E39">
        <v>0</v>
      </c>
      <c r="F39">
        <v>527.76</v>
      </c>
      <c r="G39" t="s">
        <v>6</v>
      </c>
      <c r="H39">
        <v>1</v>
      </c>
      <c r="I39">
        <f t="shared" si="5"/>
        <v>0.99999913601015356</v>
      </c>
      <c r="J39" s="6">
        <f t="shared" si="5"/>
        <v>0</v>
      </c>
      <c r="K39" s="2">
        <f>(J39*$N$3)/$N$2</f>
        <v>0</v>
      </c>
    </row>
    <row r="40" spans="1:11" x14ac:dyDescent="0.3">
      <c r="A40" t="s">
        <v>11</v>
      </c>
      <c r="B40">
        <v>14</v>
      </c>
      <c r="C40">
        <v>11</v>
      </c>
      <c r="D40">
        <v>10357500.25</v>
      </c>
      <c r="E40">
        <v>0</v>
      </c>
      <c r="F40">
        <v>542.70000000000005</v>
      </c>
      <c r="G40" t="s">
        <v>6</v>
      </c>
      <c r="H40">
        <v>1</v>
      </c>
      <c r="I40">
        <f t="shared" si="5"/>
        <v>0.99999893796880979</v>
      </c>
      <c r="J40" s="6">
        <f t="shared" si="5"/>
        <v>0</v>
      </c>
      <c r="K40" s="2">
        <f>(J40*$N$3)/$N$2</f>
        <v>0</v>
      </c>
    </row>
    <row r="41" spans="1:11" x14ac:dyDescent="0.3">
      <c r="A41" t="s">
        <v>11</v>
      </c>
      <c r="B41">
        <v>2001</v>
      </c>
      <c r="C41">
        <v>2</v>
      </c>
      <c r="D41">
        <v>0</v>
      </c>
      <c r="E41">
        <v>0</v>
      </c>
      <c r="F41">
        <v>557.12</v>
      </c>
    </row>
    <row r="42" spans="1:11" x14ac:dyDescent="0.3">
      <c r="A42" t="s">
        <v>11</v>
      </c>
      <c r="B42">
        <v>2001</v>
      </c>
      <c r="C42">
        <v>3</v>
      </c>
      <c r="D42">
        <v>0</v>
      </c>
      <c r="E42">
        <v>0</v>
      </c>
      <c r="F42">
        <v>571.21</v>
      </c>
    </row>
    <row r="43" spans="1:11" x14ac:dyDescent="0.3">
      <c r="A43" t="s">
        <v>11</v>
      </c>
      <c r="B43">
        <v>2001</v>
      </c>
      <c r="C43">
        <v>2</v>
      </c>
      <c r="D43">
        <v>0</v>
      </c>
      <c r="E43">
        <v>0</v>
      </c>
      <c r="F43">
        <v>585.66</v>
      </c>
    </row>
    <row r="44" spans="1:11" x14ac:dyDescent="0.3">
      <c r="A44" t="s">
        <v>11</v>
      </c>
      <c r="B44">
        <v>2001</v>
      </c>
      <c r="C44">
        <v>3</v>
      </c>
      <c r="D44">
        <v>0</v>
      </c>
      <c r="E44">
        <v>0</v>
      </c>
      <c r="F44">
        <v>599.82000000000005</v>
      </c>
    </row>
    <row r="45" spans="1:11" x14ac:dyDescent="0.3">
      <c r="A45" t="s">
        <v>11</v>
      </c>
      <c r="B45">
        <v>13</v>
      </c>
      <c r="C45">
        <v>1</v>
      </c>
      <c r="D45">
        <v>10941426.6650391</v>
      </c>
      <c r="E45">
        <v>0</v>
      </c>
      <c r="F45">
        <v>614.77</v>
      </c>
      <c r="G45" t="s">
        <v>7</v>
      </c>
      <c r="H45">
        <v>1.5</v>
      </c>
      <c r="I45">
        <f t="shared" ref="I45:J47" si="6">D45/(C45+D45)</f>
        <v>0.99999990860424881</v>
      </c>
      <c r="J45" s="6">
        <f t="shared" si="6"/>
        <v>0</v>
      </c>
      <c r="K45" s="2">
        <f>(J45*$N$3)/$N$2</f>
        <v>0</v>
      </c>
    </row>
    <row r="46" spans="1:11" x14ac:dyDescent="0.3">
      <c r="A46" t="s">
        <v>11</v>
      </c>
      <c r="B46">
        <v>13</v>
      </c>
      <c r="C46">
        <v>3</v>
      </c>
      <c r="D46">
        <v>10502651.677734399</v>
      </c>
      <c r="E46">
        <v>0</v>
      </c>
      <c r="F46">
        <v>629.72</v>
      </c>
      <c r="G46" t="s">
        <v>7</v>
      </c>
      <c r="H46">
        <v>1.5</v>
      </c>
      <c r="I46">
        <f t="shared" si="6"/>
        <v>0.99999971435793211</v>
      </c>
      <c r="J46" s="6">
        <f t="shared" si="6"/>
        <v>0</v>
      </c>
      <c r="K46" s="2">
        <f>(J46*$N$3)/$N$2</f>
        <v>0</v>
      </c>
    </row>
    <row r="47" spans="1:11" x14ac:dyDescent="0.3">
      <c r="A47" t="s">
        <v>11</v>
      </c>
      <c r="B47">
        <v>13</v>
      </c>
      <c r="C47">
        <v>5</v>
      </c>
      <c r="D47">
        <v>10177333.8398438</v>
      </c>
      <c r="E47">
        <v>0</v>
      </c>
      <c r="F47">
        <v>644.54999999999995</v>
      </c>
      <c r="G47" t="s">
        <v>7</v>
      </c>
      <c r="H47">
        <v>1.5</v>
      </c>
      <c r="I47">
        <f t="shared" si="6"/>
        <v>0.9999995087124367</v>
      </c>
      <c r="J47" s="6">
        <f t="shared" si="6"/>
        <v>0</v>
      </c>
      <c r="K47" s="2">
        <f>(J47*$N$3)/$N$2</f>
        <v>0</v>
      </c>
    </row>
    <row r="48" spans="1:11" x14ac:dyDescent="0.3">
      <c r="A48" t="s">
        <v>11</v>
      </c>
      <c r="B48">
        <v>2001</v>
      </c>
      <c r="C48">
        <v>2</v>
      </c>
      <c r="D48">
        <v>0</v>
      </c>
      <c r="E48">
        <v>0</v>
      </c>
      <c r="F48">
        <v>659.04</v>
      </c>
    </row>
    <row r="49" spans="1:11" x14ac:dyDescent="0.3">
      <c r="A49" t="s">
        <v>11</v>
      </c>
      <c r="B49">
        <v>2001</v>
      </c>
      <c r="C49">
        <v>3</v>
      </c>
      <c r="D49">
        <v>0</v>
      </c>
      <c r="E49">
        <v>0</v>
      </c>
      <c r="F49">
        <v>673.2</v>
      </c>
    </row>
    <row r="50" spans="1:11" x14ac:dyDescent="0.3">
      <c r="A50" t="s">
        <v>11</v>
      </c>
      <c r="B50">
        <v>13</v>
      </c>
      <c r="C50">
        <v>7</v>
      </c>
      <c r="D50">
        <v>10202102.518066401</v>
      </c>
      <c r="E50">
        <v>0</v>
      </c>
      <c r="F50">
        <v>688.09</v>
      </c>
      <c r="G50" t="s">
        <v>6</v>
      </c>
      <c r="H50">
        <v>1.5</v>
      </c>
      <c r="I50">
        <f t="shared" ref="I50:J52" si="7">D50/(C50+D50)</f>
        <v>0.99999931386739305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11</v>
      </c>
      <c r="B51">
        <v>13</v>
      </c>
      <c r="C51">
        <v>9</v>
      </c>
      <c r="D51">
        <v>10322652.09375</v>
      </c>
      <c r="E51">
        <v>0</v>
      </c>
      <c r="F51">
        <v>703.04</v>
      </c>
      <c r="G51" t="s">
        <v>6</v>
      </c>
      <c r="H51">
        <v>1.5</v>
      </c>
      <c r="I51">
        <f t="shared" si="7"/>
        <v>0.99999912813179481</v>
      </c>
      <c r="J51" s="6">
        <f t="shared" si="7"/>
        <v>0</v>
      </c>
      <c r="K51" s="2">
        <f>(J51*$N$3)/$N$2</f>
        <v>0</v>
      </c>
    </row>
    <row r="52" spans="1:11" x14ac:dyDescent="0.3">
      <c r="A52" t="s">
        <v>11</v>
      </c>
      <c r="B52">
        <v>13</v>
      </c>
      <c r="C52">
        <v>11</v>
      </c>
      <c r="D52">
        <v>10350072.7651367</v>
      </c>
      <c r="E52">
        <v>0</v>
      </c>
      <c r="F52">
        <v>717.87</v>
      </c>
      <c r="G52" t="s">
        <v>6</v>
      </c>
      <c r="H52">
        <v>1.5</v>
      </c>
      <c r="I52">
        <f t="shared" si="7"/>
        <v>0.9999989372066691</v>
      </c>
      <c r="J52" s="6">
        <f t="shared" si="7"/>
        <v>0</v>
      </c>
      <c r="K52" s="2">
        <f>(J52*$N$3)/$N$2</f>
        <v>0</v>
      </c>
    </row>
    <row r="53" spans="1:11" x14ac:dyDescent="0.3">
      <c r="A53" t="s">
        <v>11</v>
      </c>
      <c r="B53">
        <v>2001</v>
      </c>
      <c r="C53">
        <v>2</v>
      </c>
      <c r="D53">
        <v>0</v>
      </c>
      <c r="E53">
        <v>0</v>
      </c>
      <c r="F53">
        <v>732.34</v>
      </c>
    </row>
    <row r="54" spans="1:11" x14ac:dyDescent="0.3">
      <c r="A54" t="s">
        <v>11</v>
      </c>
      <c r="B54">
        <v>2001</v>
      </c>
      <c r="C54">
        <v>3</v>
      </c>
      <c r="D54">
        <v>0</v>
      </c>
      <c r="E54">
        <v>0</v>
      </c>
      <c r="F54">
        <v>746.49</v>
      </c>
    </row>
    <row r="55" spans="1:11" x14ac:dyDescent="0.3">
      <c r="A55" t="s">
        <v>11</v>
      </c>
      <c r="B55">
        <v>2001</v>
      </c>
      <c r="C55">
        <v>2</v>
      </c>
      <c r="D55">
        <v>0</v>
      </c>
      <c r="E55">
        <v>0</v>
      </c>
      <c r="F55">
        <v>760.94</v>
      </c>
    </row>
    <row r="56" spans="1:11" x14ac:dyDescent="0.3">
      <c r="A56" t="s">
        <v>11</v>
      </c>
      <c r="B56">
        <v>2001</v>
      </c>
      <c r="C56">
        <v>3</v>
      </c>
      <c r="D56">
        <v>0</v>
      </c>
      <c r="E56">
        <v>0</v>
      </c>
      <c r="F56">
        <v>775.22</v>
      </c>
    </row>
    <row r="57" spans="1:11" x14ac:dyDescent="0.3">
      <c r="A57" t="s">
        <v>11</v>
      </c>
      <c r="B57">
        <v>12</v>
      </c>
      <c r="C57">
        <v>1</v>
      </c>
      <c r="D57">
        <v>10993401.1206055</v>
      </c>
      <c r="E57">
        <v>0</v>
      </c>
      <c r="F57">
        <v>790.06</v>
      </c>
      <c r="G57" t="s">
        <v>7</v>
      </c>
      <c r="H57">
        <v>3</v>
      </c>
      <c r="I57">
        <f t="shared" ref="I57:J59" si="8">D57/(C57+D57)</f>
        <v>0.99999990903634839</v>
      </c>
      <c r="J57" s="6">
        <f t="shared" si="8"/>
        <v>0</v>
      </c>
      <c r="K57" s="2">
        <f>(J57*$N$3)/$N$2</f>
        <v>0</v>
      </c>
    </row>
    <row r="58" spans="1:11" x14ac:dyDescent="0.3">
      <c r="A58" t="s">
        <v>11</v>
      </c>
      <c r="B58">
        <v>12</v>
      </c>
      <c r="C58">
        <v>3</v>
      </c>
      <c r="D58">
        <v>10914189.869140601</v>
      </c>
      <c r="E58">
        <v>0</v>
      </c>
      <c r="F58">
        <v>804.91</v>
      </c>
      <c r="G58" t="s">
        <v>7</v>
      </c>
      <c r="H58">
        <v>3</v>
      </c>
      <c r="I58">
        <f t="shared" si="8"/>
        <v>0.99999972512855184</v>
      </c>
      <c r="J58" s="6">
        <f t="shared" si="8"/>
        <v>0</v>
      </c>
      <c r="K58" s="2">
        <f>(J58*$N$3)/$N$2</f>
        <v>0</v>
      </c>
    </row>
    <row r="59" spans="1:11" x14ac:dyDescent="0.3">
      <c r="A59" t="s">
        <v>11</v>
      </c>
      <c r="B59">
        <v>12</v>
      </c>
      <c r="C59">
        <v>5</v>
      </c>
      <c r="D59">
        <v>10451185.720214801</v>
      </c>
      <c r="E59">
        <v>0</v>
      </c>
      <c r="F59">
        <v>819.86</v>
      </c>
      <c r="G59" t="s">
        <v>7</v>
      </c>
      <c r="H59">
        <v>3</v>
      </c>
      <c r="I59">
        <f t="shared" si="8"/>
        <v>0.99999952158561323</v>
      </c>
      <c r="J59" s="6">
        <f t="shared" si="8"/>
        <v>0</v>
      </c>
      <c r="K59" s="2">
        <f>(J59*$N$3)/$N$2</f>
        <v>0</v>
      </c>
    </row>
    <row r="60" spans="1:11" x14ac:dyDescent="0.3">
      <c r="A60" t="s">
        <v>11</v>
      </c>
      <c r="B60">
        <v>2001</v>
      </c>
      <c r="C60">
        <v>2</v>
      </c>
      <c r="D60">
        <v>0</v>
      </c>
      <c r="E60">
        <v>0</v>
      </c>
      <c r="F60">
        <v>834.27</v>
      </c>
    </row>
    <row r="61" spans="1:11" x14ac:dyDescent="0.3">
      <c r="A61" t="s">
        <v>11</v>
      </c>
      <c r="B61">
        <v>2001</v>
      </c>
      <c r="C61">
        <v>3</v>
      </c>
      <c r="D61">
        <v>0</v>
      </c>
      <c r="E61">
        <v>0</v>
      </c>
      <c r="F61">
        <v>848.31</v>
      </c>
    </row>
    <row r="62" spans="1:11" x14ac:dyDescent="0.3">
      <c r="A62" t="s">
        <v>11</v>
      </c>
      <c r="B62">
        <v>12</v>
      </c>
      <c r="C62">
        <v>7</v>
      </c>
      <c r="D62">
        <v>10643780.8320313</v>
      </c>
      <c r="E62">
        <v>0</v>
      </c>
      <c r="F62">
        <v>863.2</v>
      </c>
      <c r="G62" t="s">
        <v>6</v>
      </c>
      <c r="H62">
        <v>3</v>
      </c>
      <c r="I62">
        <f t="shared" ref="I62:J64" si="9">D62/(C62+D62)</f>
        <v>0.99999934233938981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11</v>
      </c>
      <c r="B63">
        <v>12</v>
      </c>
      <c r="C63">
        <v>9</v>
      </c>
      <c r="D63">
        <v>10225387.5004883</v>
      </c>
      <c r="E63">
        <v>0</v>
      </c>
      <c r="F63">
        <v>878.17</v>
      </c>
      <c r="G63" t="s">
        <v>6</v>
      </c>
      <c r="H63">
        <v>3</v>
      </c>
      <c r="I63">
        <f t="shared" si="9"/>
        <v>0.99999911983853151</v>
      </c>
      <c r="J63" s="6">
        <f t="shared" si="9"/>
        <v>0</v>
      </c>
      <c r="K63" s="2">
        <f>(J63*$N$3)/$N$2</f>
        <v>0</v>
      </c>
    </row>
    <row r="64" spans="1:11" x14ac:dyDescent="0.3">
      <c r="A64" t="s">
        <v>11</v>
      </c>
      <c r="B64">
        <v>12</v>
      </c>
      <c r="C64">
        <v>11</v>
      </c>
      <c r="D64">
        <v>10444626.793945299</v>
      </c>
      <c r="E64">
        <v>0</v>
      </c>
      <c r="F64">
        <v>892.99</v>
      </c>
      <c r="G64" t="s">
        <v>6</v>
      </c>
      <c r="H64">
        <v>3</v>
      </c>
      <c r="I64">
        <f t="shared" si="9"/>
        <v>0.99999894682800716</v>
      </c>
      <c r="J64" s="6">
        <f t="shared" si="9"/>
        <v>0</v>
      </c>
      <c r="K64" s="2">
        <f>(J64*$N$3)/$N$2</f>
        <v>0</v>
      </c>
    </row>
    <row r="65" spans="1:11" x14ac:dyDescent="0.3">
      <c r="A65" t="s">
        <v>11</v>
      </c>
      <c r="B65">
        <v>2001</v>
      </c>
      <c r="C65">
        <v>2</v>
      </c>
      <c r="D65">
        <v>0</v>
      </c>
      <c r="E65">
        <v>0</v>
      </c>
      <c r="F65">
        <v>907.37</v>
      </c>
    </row>
    <row r="66" spans="1:11" x14ac:dyDescent="0.3">
      <c r="A66" t="s">
        <v>11</v>
      </c>
      <c r="B66">
        <v>2001</v>
      </c>
      <c r="C66">
        <v>3</v>
      </c>
      <c r="D66">
        <v>0</v>
      </c>
      <c r="E66">
        <v>0</v>
      </c>
      <c r="F66">
        <v>921.58</v>
      </c>
    </row>
    <row r="67" spans="1:11" x14ac:dyDescent="0.3">
      <c r="A67" t="s">
        <v>11</v>
      </c>
      <c r="B67">
        <v>2001</v>
      </c>
      <c r="C67">
        <v>2</v>
      </c>
      <c r="D67">
        <v>0</v>
      </c>
      <c r="E67">
        <v>0</v>
      </c>
      <c r="F67">
        <v>936.03</v>
      </c>
    </row>
    <row r="68" spans="1:11" x14ac:dyDescent="0.3">
      <c r="A68" t="s">
        <v>11</v>
      </c>
      <c r="B68">
        <v>2001</v>
      </c>
      <c r="C68">
        <v>3</v>
      </c>
      <c r="D68">
        <v>0</v>
      </c>
      <c r="E68">
        <v>0</v>
      </c>
      <c r="F68">
        <v>950.18</v>
      </c>
    </row>
    <row r="69" spans="1:11" x14ac:dyDescent="0.3">
      <c r="A69" t="s">
        <v>11</v>
      </c>
      <c r="B69">
        <v>11</v>
      </c>
      <c r="C69">
        <v>1</v>
      </c>
      <c r="D69">
        <v>10642779.791015601</v>
      </c>
      <c r="E69">
        <v>0</v>
      </c>
      <c r="F69">
        <v>965.14</v>
      </c>
      <c r="G69" t="s">
        <v>7</v>
      </c>
      <c r="H69">
        <v>5</v>
      </c>
      <c r="I69">
        <f t="shared" ref="I69:J71" si="10">D69/(C69+D69)</f>
        <v>0.99999990603959443</v>
      </c>
      <c r="J69" s="6">
        <f t="shared" si="10"/>
        <v>0</v>
      </c>
      <c r="K69" s="2">
        <f>(J69*$N$3)/$N$2</f>
        <v>0</v>
      </c>
    </row>
    <row r="70" spans="1:11" x14ac:dyDescent="0.3">
      <c r="A70" t="s">
        <v>11</v>
      </c>
      <c r="B70">
        <v>11</v>
      </c>
      <c r="C70">
        <v>3</v>
      </c>
      <c r="D70">
        <v>10114727.9648438</v>
      </c>
      <c r="E70">
        <v>0</v>
      </c>
      <c r="F70">
        <v>979.99</v>
      </c>
      <c r="G70" t="s">
        <v>7</v>
      </c>
      <c r="H70">
        <v>5</v>
      </c>
      <c r="I70">
        <f t="shared" si="10"/>
        <v>0.99999970340288724</v>
      </c>
      <c r="J70" s="6">
        <f t="shared" si="10"/>
        <v>0</v>
      </c>
      <c r="K70" s="2">
        <f>(J70*$N$3)/$N$2</f>
        <v>0</v>
      </c>
    </row>
    <row r="71" spans="1:11" x14ac:dyDescent="0.3">
      <c r="A71" t="s">
        <v>11</v>
      </c>
      <c r="B71">
        <v>11</v>
      </c>
      <c r="C71">
        <v>5</v>
      </c>
      <c r="D71">
        <v>10242725.4140625</v>
      </c>
      <c r="E71">
        <v>0</v>
      </c>
      <c r="F71">
        <v>994.98</v>
      </c>
      <c r="G71" t="s">
        <v>7</v>
      </c>
      <c r="H71">
        <v>5</v>
      </c>
      <c r="I71">
        <f t="shared" si="10"/>
        <v>0.99999951184891156</v>
      </c>
      <c r="J71" s="6">
        <f t="shared" si="10"/>
        <v>0</v>
      </c>
      <c r="K71" s="2">
        <f>(J71*$N$3)/$N$2</f>
        <v>0</v>
      </c>
    </row>
    <row r="72" spans="1:11" x14ac:dyDescent="0.3">
      <c r="A72" t="s">
        <v>11</v>
      </c>
      <c r="B72">
        <v>2001</v>
      </c>
      <c r="C72">
        <v>2</v>
      </c>
      <c r="D72">
        <v>0</v>
      </c>
      <c r="E72">
        <v>0</v>
      </c>
      <c r="F72">
        <v>1009.32</v>
      </c>
    </row>
    <row r="73" spans="1:11" x14ac:dyDescent="0.3">
      <c r="A73" t="s">
        <v>11</v>
      </c>
      <c r="B73">
        <v>2001</v>
      </c>
      <c r="C73">
        <v>3</v>
      </c>
      <c r="D73">
        <v>0</v>
      </c>
      <c r="E73">
        <v>0</v>
      </c>
      <c r="F73">
        <v>1023.52</v>
      </c>
    </row>
    <row r="74" spans="1:11" x14ac:dyDescent="0.3">
      <c r="A74" t="s">
        <v>11</v>
      </c>
      <c r="B74">
        <v>11</v>
      </c>
      <c r="C74">
        <v>7</v>
      </c>
      <c r="D74">
        <v>10615564.28125</v>
      </c>
      <c r="E74">
        <v>0</v>
      </c>
      <c r="F74">
        <v>1038.45</v>
      </c>
      <c r="G74" t="s">
        <v>6</v>
      </c>
      <c r="H74">
        <v>5</v>
      </c>
      <c r="I74">
        <f t="shared" ref="I74:J76" si="11">D74/(C74+D74)</f>
        <v>0.99999934059130546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11</v>
      </c>
      <c r="B75">
        <v>11</v>
      </c>
      <c r="C75">
        <v>9</v>
      </c>
      <c r="D75">
        <v>10093183.3481445</v>
      </c>
      <c r="E75">
        <v>0</v>
      </c>
      <c r="F75">
        <v>1053.33</v>
      </c>
      <c r="G75" t="s">
        <v>6</v>
      </c>
      <c r="H75">
        <v>5</v>
      </c>
      <c r="I75">
        <f t="shared" si="11"/>
        <v>0.99999910830986971</v>
      </c>
      <c r="J75" s="6">
        <f t="shared" si="11"/>
        <v>0</v>
      </c>
      <c r="K75" s="2">
        <f>(J75*$N$3)/$N$2</f>
        <v>0</v>
      </c>
    </row>
    <row r="76" spans="1:11" x14ac:dyDescent="0.3">
      <c r="A76" t="s">
        <v>11</v>
      </c>
      <c r="B76">
        <v>11</v>
      </c>
      <c r="C76">
        <v>11</v>
      </c>
      <c r="D76">
        <v>10145558.296875</v>
      </c>
      <c r="E76">
        <v>0</v>
      </c>
      <c r="F76">
        <v>1068.2</v>
      </c>
      <c r="G76" t="s">
        <v>6</v>
      </c>
      <c r="H76">
        <v>5</v>
      </c>
      <c r="I76">
        <f t="shared" si="11"/>
        <v>0.99999891578287248</v>
      </c>
      <c r="J76" s="6">
        <f t="shared" si="11"/>
        <v>0</v>
      </c>
      <c r="K76" s="2">
        <f>(J76*$N$3)/$N$2</f>
        <v>0</v>
      </c>
    </row>
    <row r="77" spans="1:11" x14ac:dyDescent="0.3">
      <c r="A77" t="s">
        <v>11</v>
      </c>
      <c r="B77">
        <v>2001</v>
      </c>
      <c r="C77">
        <v>2</v>
      </c>
      <c r="D77">
        <v>0</v>
      </c>
      <c r="E77">
        <v>0</v>
      </c>
      <c r="F77">
        <v>1082.6500000000001</v>
      </c>
    </row>
    <row r="78" spans="1:11" x14ac:dyDescent="0.3">
      <c r="A78" t="s">
        <v>11</v>
      </c>
      <c r="B78">
        <v>2001</v>
      </c>
      <c r="C78">
        <v>3</v>
      </c>
      <c r="D78">
        <v>0</v>
      </c>
      <c r="E78">
        <v>0</v>
      </c>
      <c r="F78">
        <v>1096.8900000000001</v>
      </c>
    </row>
    <row r="79" spans="1:11" x14ac:dyDescent="0.3">
      <c r="A79" t="s">
        <v>11</v>
      </c>
      <c r="B79">
        <v>2001</v>
      </c>
      <c r="C79">
        <v>2</v>
      </c>
      <c r="D79">
        <v>0</v>
      </c>
      <c r="E79">
        <v>0</v>
      </c>
      <c r="F79">
        <v>1111.21</v>
      </c>
    </row>
    <row r="80" spans="1:11" x14ac:dyDescent="0.3">
      <c r="A80" t="s">
        <v>11</v>
      </c>
      <c r="B80">
        <v>2001</v>
      </c>
      <c r="C80">
        <v>3</v>
      </c>
      <c r="D80">
        <v>0</v>
      </c>
      <c r="E80">
        <v>0</v>
      </c>
      <c r="F80">
        <v>1125.5</v>
      </c>
    </row>
    <row r="81" spans="1:11" x14ac:dyDescent="0.3">
      <c r="A81" t="s">
        <v>11</v>
      </c>
      <c r="B81">
        <v>10</v>
      </c>
      <c r="C81">
        <v>1</v>
      </c>
      <c r="D81">
        <v>9409065.8330078106</v>
      </c>
      <c r="E81">
        <v>0</v>
      </c>
      <c r="F81">
        <v>1140.3399999999999</v>
      </c>
      <c r="G81" t="s">
        <v>7</v>
      </c>
      <c r="H81">
        <v>10</v>
      </c>
      <c r="I81">
        <f t="shared" ref="I81:J83" si="12">D81/(C81+D81)</f>
        <v>0.99999989371953479</v>
      </c>
      <c r="J81" s="6">
        <f t="shared" si="12"/>
        <v>0</v>
      </c>
      <c r="K81" s="2">
        <f>(J81*$N$3)/$N$2</f>
        <v>0</v>
      </c>
    </row>
    <row r="82" spans="1:11" x14ac:dyDescent="0.3">
      <c r="A82" t="s">
        <v>11</v>
      </c>
      <c r="B82">
        <v>10</v>
      </c>
      <c r="C82">
        <v>3</v>
      </c>
      <c r="D82">
        <v>10131705.205078101</v>
      </c>
      <c r="E82">
        <v>0</v>
      </c>
      <c r="F82">
        <v>1155.31</v>
      </c>
      <c r="G82" t="s">
        <v>7</v>
      </c>
      <c r="H82">
        <v>10</v>
      </c>
      <c r="I82">
        <f t="shared" si="12"/>
        <v>0.99999970389988146</v>
      </c>
      <c r="J82" s="6">
        <f t="shared" si="12"/>
        <v>0</v>
      </c>
      <c r="K82" s="2">
        <f>(J82*$N$3)/$N$2</f>
        <v>0</v>
      </c>
    </row>
    <row r="83" spans="1:11" x14ac:dyDescent="0.3">
      <c r="A83" t="s">
        <v>11</v>
      </c>
      <c r="B83">
        <v>10</v>
      </c>
      <c r="C83">
        <v>5</v>
      </c>
      <c r="D83">
        <v>10018753.65625</v>
      </c>
      <c r="E83">
        <v>0</v>
      </c>
      <c r="F83">
        <v>1170.1500000000001</v>
      </c>
      <c r="G83" t="s">
        <v>7</v>
      </c>
      <c r="H83">
        <v>10</v>
      </c>
      <c r="I83">
        <f t="shared" si="12"/>
        <v>0.99999950093617662</v>
      </c>
      <c r="J83" s="6">
        <f t="shared" si="12"/>
        <v>0</v>
      </c>
      <c r="K83" s="2">
        <f>(J83*$N$3)/$N$2</f>
        <v>0</v>
      </c>
    </row>
    <row r="84" spans="1:11" x14ac:dyDescent="0.3">
      <c r="A84" t="s">
        <v>11</v>
      </c>
      <c r="B84">
        <v>2001</v>
      </c>
      <c r="C84">
        <v>2</v>
      </c>
      <c r="D84">
        <v>0</v>
      </c>
      <c r="E84">
        <v>0</v>
      </c>
      <c r="F84">
        <v>1184.5899999999999</v>
      </c>
    </row>
    <row r="85" spans="1:11" x14ac:dyDescent="0.3">
      <c r="A85" t="s">
        <v>11</v>
      </c>
      <c r="B85">
        <v>2001</v>
      </c>
      <c r="C85">
        <v>3</v>
      </c>
      <c r="D85">
        <v>0</v>
      </c>
      <c r="E85">
        <v>0</v>
      </c>
      <c r="F85">
        <v>1198.78</v>
      </c>
    </row>
    <row r="86" spans="1:11" x14ac:dyDescent="0.3">
      <c r="A86" t="s">
        <v>11</v>
      </c>
      <c r="B86">
        <v>10</v>
      </c>
      <c r="C86">
        <v>7</v>
      </c>
      <c r="D86">
        <v>10195655.6953125</v>
      </c>
      <c r="E86">
        <v>0</v>
      </c>
      <c r="F86">
        <v>1213.69</v>
      </c>
      <c r="G86" t="s">
        <v>6</v>
      </c>
      <c r="H86">
        <v>10</v>
      </c>
      <c r="I86">
        <f t="shared" ref="I86:J88" si="13">D86/(C86+D86)</f>
        <v>0.99999931343354431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11</v>
      </c>
      <c r="B87">
        <v>10</v>
      </c>
      <c r="C87">
        <v>9</v>
      </c>
      <c r="D87">
        <v>9731990.57421875</v>
      </c>
      <c r="E87">
        <v>0</v>
      </c>
      <c r="F87">
        <v>1228.4100000000001</v>
      </c>
      <c r="G87" t="s">
        <v>6</v>
      </c>
      <c r="H87">
        <v>10</v>
      </c>
      <c r="I87">
        <f t="shared" si="13"/>
        <v>0.99999907521574249</v>
      </c>
      <c r="J87" s="6">
        <f t="shared" si="13"/>
        <v>0</v>
      </c>
      <c r="K87" s="2">
        <f>(J87*$N$3)/$N$2</f>
        <v>0</v>
      </c>
    </row>
    <row r="88" spans="1:11" x14ac:dyDescent="0.3">
      <c r="A88" t="s">
        <v>11</v>
      </c>
      <c r="B88">
        <v>10</v>
      </c>
      <c r="C88">
        <v>11</v>
      </c>
      <c r="D88">
        <v>10158542.888671899</v>
      </c>
      <c r="E88">
        <v>0</v>
      </c>
      <c r="F88">
        <v>1243.1199999999999</v>
      </c>
      <c r="G88" t="s">
        <v>6</v>
      </c>
      <c r="H88">
        <v>10</v>
      </c>
      <c r="I88">
        <f t="shared" si="13"/>
        <v>0.99999891716871114</v>
      </c>
      <c r="J88" s="6">
        <f t="shared" si="13"/>
        <v>0</v>
      </c>
      <c r="K88" s="2">
        <f>(J88*$N$3)/$N$2</f>
        <v>0</v>
      </c>
    </row>
    <row r="89" spans="1:11" x14ac:dyDescent="0.3">
      <c r="A89" t="s">
        <v>11</v>
      </c>
      <c r="B89">
        <v>2001</v>
      </c>
      <c r="C89">
        <v>2</v>
      </c>
      <c r="D89">
        <v>0</v>
      </c>
      <c r="E89">
        <v>0</v>
      </c>
      <c r="F89">
        <v>1257.56</v>
      </c>
    </row>
    <row r="90" spans="1:11" x14ac:dyDescent="0.3">
      <c r="A90" t="s">
        <v>11</v>
      </c>
      <c r="B90">
        <v>2001</v>
      </c>
      <c r="C90">
        <v>3</v>
      </c>
      <c r="D90">
        <v>0</v>
      </c>
      <c r="E90">
        <v>0</v>
      </c>
      <c r="F90">
        <v>1271.76</v>
      </c>
    </row>
    <row r="91" spans="1:11" x14ac:dyDescent="0.3">
      <c r="A91" t="s">
        <v>11</v>
      </c>
      <c r="B91">
        <v>2001</v>
      </c>
      <c r="C91">
        <v>2</v>
      </c>
      <c r="D91">
        <v>0</v>
      </c>
      <c r="E91">
        <v>0</v>
      </c>
      <c r="F91">
        <v>1286.1500000000001</v>
      </c>
    </row>
    <row r="92" spans="1:11" x14ac:dyDescent="0.3">
      <c r="A92" t="s">
        <v>11</v>
      </c>
      <c r="B92">
        <v>2001</v>
      </c>
      <c r="C92">
        <v>3</v>
      </c>
      <c r="D92">
        <v>0</v>
      </c>
      <c r="E92">
        <v>0</v>
      </c>
      <c r="F92">
        <v>1300.33</v>
      </c>
    </row>
    <row r="93" spans="1:11" x14ac:dyDescent="0.3">
      <c r="A93" t="s">
        <v>11</v>
      </c>
      <c r="B93">
        <v>9</v>
      </c>
      <c r="C93">
        <v>1</v>
      </c>
      <c r="D93">
        <v>9903949.0908203106</v>
      </c>
      <c r="E93">
        <v>0</v>
      </c>
      <c r="F93">
        <v>1315.31</v>
      </c>
      <c r="G93" t="s">
        <v>7</v>
      </c>
      <c r="H93">
        <v>20</v>
      </c>
      <c r="I93">
        <f t="shared" ref="I93:J95" si="14">D93/(C93+D93)</f>
        <v>0.99999989903018582</v>
      </c>
      <c r="J93" s="6">
        <f t="shared" si="14"/>
        <v>0</v>
      </c>
      <c r="K93" s="2">
        <f>(J93*$N$3)/$N$2</f>
        <v>0</v>
      </c>
    </row>
    <row r="94" spans="1:11" x14ac:dyDescent="0.3">
      <c r="A94" t="s">
        <v>11</v>
      </c>
      <c r="B94">
        <v>9</v>
      </c>
      <c r="C94">
        <v>3</v>
      </c>
      <c r="D94">
        <v>9516561.9589843806</v>
      </c>
      <c r="E94">
        <v>0</v>
      </c>
      <c r="F94">
        <v>1330.24</v>
      </c>
      <c r="G94" t="s">
        <v>7</v>
      </c>
      <c r="H94">
        <v>20</v>
      </c>
      <c r="I94">
        <f t="shared" si="14"/>
        <v>0.99999968476020362</v>
      </c>
      <c r="J94" s="6">
        <f t="shared" si="14"/>
        <v>0</v>
      </c>
      <c r="K94" s="2">
        <f>(J94*$N$3)/$N$2</f>
        <v>0</v>
      </c>
    </row>
    <row r="95" spans="1:11" x14ac:dyDescent="0.3">
      <c r="A95" t="s">
        <v>11</v>
      </c>
      <c r="B95">
        <v>9</v>
      </c>
      <c r="C95">
        <v>5</v>
      </c>
      <c r="D95">
        <v>9827609.5615234394</v>
      </c>
      <c r="E95">
        <v>0</v>
      </c>
      <c r="F95">
        <v>1345.05</v>
      </c>
      <c r="G95" t="s">
        <v>7</v>
      </c>
      <c r="H95">
        <v>20</v>
      </c>
      <c r="I95">
        <f t="shared" si="14"/>
        <v>0.99999949122953813</v>
      </c>
      <c r="J95" s="6">
        <f t="shared" si="14"/>
        <v>0</v>
      </c>
      <c r="K95" s="2">
        <f>(J95*$N$3)/$N$2</f>
        <v>0</v>
      </c>
    </row>
    <row r="96" spans="1:11" x14ac:dyDescent="0.3">
      <c r="A96" t="s">
        <v>11</v>
      </c>
      <c r="B96">
        <v>2001</v>
      </c>
      <c r="C96">
        <v>2</v>
      </c>
      <c r="D96">
        <v>0</v>
      </c>
      <c r="E96">
        <v>0</v>
      </c>
      <c r="F96">
        <v>1359.5</v>
      </c>
    </row>
    <row r="97" spans="1:11" x14ac:dyDescent="0.3">
      <c r="A97" t="s">
        <v>11</v>
      </c>
      <c r="B97">
        <v>2001</v>
      </c>
      <c r="C97">
        <v>3</v>
      </c>
      <c r="D97">
        <v>0</v>
      </c>
      <c r="E97">
        <v>0</v>
      </c>
      <c r="F97">
        <v>1373.66</v>
      </c>
    </row>
    <row r="98" spans="1:11" x14ac:dyDescent="0.3">
      <c r="A98" t="s">
        <v>11</v>
      </c>
      <c r="B98">
        <v>9</v>
      </c>
      <c r="C98">
        <v>7</v>
      </c>
      <c r="D98">
        <v>10012251.7929688</v>
      </c>
      <c r="E98">
        <v>0</v>
      </c>
      <c r="F98">
        <v>1388.63</v>
      </c>
      <c r="G98" t="s">
        <v>6</v>
      </c>
      <c r="H98">
        <v>20</v>
      </c>
      <c r="I98">
        <f t="shared" ref="I98:J100" si="15">D98/(C98+D98)</f>
        <v>0.9999993008570649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11</v>
      </c>
      <c r="B99">
        <v>9</v>
      </c>
      <c r="C99">
        <v>9</v>
      </c>
      <c r="D99">
        <v>9578305.55078125</v>
      </c>
      <c r="E99">
        <v>0</v>
      </c>
      <c r="F99">
        <v>1403.31</v>
      </c>
      <c r="G99" t="s">
        <v>6</v>
      </c>
      <c r="H99">
        <v>20</v>
      </c>
      <c r="I99">
        <f t="shared" si="15"/>
        <v>0.99999906037748576</v>
      </c>
      <c r="J99" s="6">
        <f t="shared" si="15"/>
        <v>0</v>
      </c>
      <c r="K99" s="2">
        <f>(J99*$N$3)/$N$2</f>
        <v>0</v>
      </c>
    </row>
    <row r="100" spans="1:11" x14ac:dyDescent="0.3">
      <c r="A100" t="s">
        <v>11</v>
      </c>
      <c r="B100">
        <v>9</v>
      </c>
      <c r="C100">
        <v>11</v>
      </c>
      <c r="D100">
        <v>7800502.1113281297</v>
      </c>
      <c r="E100">
        <v>0</v>
      </c>
      <c r="F100">
        <v>1417.97</v>
      </c>
      <c r="G100" t="s">
        <v>6</v>
      </c>
      <c r="H100">
        <v>20</v>
      </c>
      <c r="I100">
        <f t="shared" si="15"/>
        <v>0.99999858983635526</v>
      </c>
      <c r="J100" s="6">
        <f t="shared" si="15"/>
        <v>0</v>
      </c>
      <c r="K100" s="2">
        <f>(J100*$N$3)/$N$2</f>
        <v>0</v>
      </c>
    </row>
    <row r="101" spans="1:11" x14ac:dyDescent="0.3">
      <c r="A101" t="s">
        <v>11</v>
      </c>
      <c r="B101">
        <v>2001</v>
      </c>
      <c r="C101">
        <v>2</v>
      </c>
      <c r="D101">
        <v>0</v>
      </c>
      <c r="E101">
        <v>0</v>
      </c>
      <c r="F101">
        <v>1432.42</v>
      </c>
    </row>
    <row r="102" spans="1:11" x14ac:dyDescent="0.3">
      <c r="A102" t="s">
        <v>11</v>
      </c>
      <c r="B102">
        <v>2001</v>
      </c>
      <c r="C102">
        <v>3</v>
      </c>
      <c r="D102">
        <v>0</v>
      </c>
      <c r="E102">
        <v>0</v>
      </c>
      <c r="F102">
        <v>1446.59</v>
      </c>
    </row>
    <row r="103" spans="1:11" x14ac:dyDescent="0.3">
      <c r="A103" t="s">
        <v>11</v>
      </c>
      <c r="B103">
        <v>2001</v>
      </c>
      <c r="C103">
        <v>2</v>
      </c>
      <c r="D103">
        <v>0</v>
      </c>
      <c r="E103">
        <v>0</v>
      </c>
      <c r="F103">
        <v>1461.01</v>
      </c>
    </row>
    <row r="104" spans="1:11" x14ac:dyDescent="0.3">
      <c r="A104" t="s">
        <v>11</v>
      </c>
      <c r="B104">
        <v>2001</v>
      </c>
      <c r="C104">
        <v>3</v>
      </c>
      <c r="D104">
        <v>0</v>
      </c>
      <c r="E104">
        <v>0</v>
      </c>
      <c r="F104">
        <v>1475.19</v>
      </c>
    </row>
    <row r="105" spans="1:11" x14ac:dyDescent="0.3">
      <c r="A105" t="s">
        <v>11</v>
      </c>
      <c r="B105">
        <v>2001</v>
      </c>
      <c r="C105">
        <v>2</v>
      </c>
      <c r="D105">
        <v>0</v>
      </c>
      <c r="E105">
        <v>0</v>
      </c>
      <c r="F105">
        <v>1489.64</v>
      </c>
    </row>
    <row r="106" spans="1:11" x14ac:dyDescent="0.3">
      <c r="A106" t="s">
        <v>11</v>
      </c>
      <c r="B106">
        <v>2001</v>
      </c>
      <c r="C106">
        <v>3</v>
      </c>
      <c r="D106">
        <v>0</v>
      </c>
      <c r="E106">
        <v>0</v>
      </c>
      <c r="F106">
        <v>1503.82</v>
      </c>
    </row>
    <row r="107" spans="1:11" x14ac:dyDescent="0.3">
      <c r="A107" t="s">
        <v>11</v>
      </c>
      <c r="B107">
        <v>8</v>
      </c>
      <c r="C107">
        <v>1</v>
      </c>
      <c r="D107">
        <v>9896414.2792968806</v>
      </c>
      <c r="E107">
        <v>0</v>
      </c>
      <c r="F107">
        <v>1518.77</v>
      </c>
      <c r="G107" t="s">
        <v>7</v>
      </c>
      <c r="H107">
        <v>40</v>
      </c>
      <c r="I107">
        <f t="shared" ref="I107:J109" si="16">D107/(C107+D107)</f>
        <v>0.99999989895331065</v>
      </c>
      <c r="J107" s="6">
        <f t="shared" si="16"/>
        <v>0</v>
      </c>
      <c r="K107" s="2">
        <f>(J107*$N$3)/$N$2</f>
        <v>0</v>
      </c>
    </row>
    <row r="108" spans="1:11" x14ac:dyDescent="0.3">
      <c r="A108" t="s">
        <v>11</v>
      </c>
      <c r="B108">
        <v>8</v>
      </c>
      <c r="C108">
        <v>3</v>
      </c>
      <c r="D108">
        <v>9231844.87890625</v>
      </c>
      <c r="E108">
        <v>0</v>
      </c>
      <c r="F108">
        <v>1533.59</v>
      </c>
      <c r="G108" t="s">
        <v>7</v>
      </c>
      <c r="H108">
        <v>40</v>
      </c>
      <c r="I108">
        <f t="shared" si="16"/>
        <v>0.99999967503797293</v>
      </c>
      <c r="J108" s="6">
        <f t="shared" si="16"/>
        <v>0</v>
      </c>
      <c r="K108" s="2">
        <f>(J108*$N$3)/$N$2</f>
        <v>0</v>
      </c>
    </row>
    <row r="109" spans="1:11" x14ac:dyDescent="0.3">
      <c r="A109" t="s">
        <v>11</v>
      </c>
      <c r="B109">
        <v>8</v>
      </c>
      <c r="C109">
        <v>5</v>
      </c>
      <c r="D109">
        <v>9556322.96630859</v>
      </c>
      <c r="E109">
        <v>0</v>
      </c>
      <c r="F109">
        <v>1548.46</v>
      </c>
      <c r="G109" t="s">
        <v>7</v>
      </c>
      <c r="H109">
        <v>40</v>
      </c>
      <c r="I109">
        <f t="shared" si="16"/>
        <v>0.99999947678647927</v>
      </c>
      <c r="J109" s="6">
        <f t="shared" si="16"/>
        <v>0</v>
      </c>
      <c r="K109" s="2">
        <f>(J109*$N$3)/$N$2</f>
        <v>0</v>
      </c>
    </row>
    <row r="110" spans="1:11" x14ac:dyDescent="0.3">
      <c r="A110" t="s">
        <v>11</v>
      </c>
      <c r="B110">
        <v>2001</v>
      </c>
      <c r="C110">
        <v>2</v>
      </c>
      <c r="D110">
        <v>0</v>
      </c>
      <c r="E110">
        <v>0</v>
      </c>
      <c r="F110">
        <v>1562.91</v>
      </c>
    </row>
    <row r="111" spans="1:11" x14ac:dyDescent="0.3">
      <c r="A111" t="s">
        <v>11</v>
      </c>
      <c r="B111">
        <v>2001</v>
      </c>
      <c r="C111">
        <v>3</v>
      </c>
      <c r="D111">
        <v>0</v>
      </c>
      <c r="E111">
        <v>0</v>
      </c>
      <c r="F111">
        <v>1577.1</v>
      </c>
    </row>
    <row r="112" spans="1:11" x14ac:dyDescent="0.3">
      <c r="A112" t="s">
        <v>11</v>
      </c>
      <c r="B112">
        <v>2001</v>
      </c>
      <c r="C112">
        <v>2</v>
      </c>
      <c r="D112">
        <v>0</v>
      </c>
      <c r="E112">
        <v>0</v>
      </c>
      <c r="F112">
        <v>1591.46</v>
      </c>
    </row>
    <row r="113" spans="1:11" x14ac:dyDescent="0.3">
      <c r="A113" t="s">
        <v>11</v>
      </c>
      <c r="B113">
        <v>2001</v>
      </c>
      <c r="C113">
        <v>3</v>
      </c>
      <c r="D113">
        <v>0</v>
      </c>
      <c r="E113">
        <v>0</v>
      </c>
      <c r="F113">
        <v>1605.64</v>
      </c>
    </row>
    <row r="114" spans="1:11" x14ac:dyDescent="0.3">
      <c r="A114" t="s">
        <v>11</v>
      </c>
      <c r="B114">
        <v>8</v>
      </c>
      <c r="C114">
        <v>7</v>
      </c>
      <c r="D114">
        <v>9665238.84521484</v>
      </c>
      <c r="E114">
        <v>0</v>
      </c>
      <c r="F114">
        <v>1620.61</v>
      </c>
      <c r="G114" t="s">
        <v>6</v>
      </c>
      <c r="H114">
        <v>40</v>
      </c>
      <c r="I114">
        <f t="shared" ref="I114:J116" si="17">D114/(C114+D114)</f>
        <v>0.99999927575561842</v>
      </c>
      <c r="J114" s="6">
        <f t="shared" si="17"/>
        <v>0</v>
      </c>
      <c r="K114" s="2">
        <f>(J114*$N$3)/$N$2</f>
        <v>0</v>
      </c>
    </row>
    <row r="115" spans="1:11" x14ac:dyDescent="0.3">
      <c r="A115" t="s">
        <v>11</v>
      </c>
      <c r="B115">
        <v>8</v>
      </c>
      <c r="C115">
        <v>9</v>
      </c>
      <c r="D115">
        <v>9098868.671875</v>
      </c>
      <c r="E115">
        <v>0</v>
      </c>
      <c r="F115">
        <v>1635.28</v>
      </c>
      <c r="G115" t="s">
        <v>6</v>
      </c>
      <c r="H115">
        <v>40</v>
      </c>
      <c r="I115">
        <f t="shared" si="17"/>
        <v>0.99999901086701848</v>
      </c>
      <c r="J115" s="6">
        <f t="shared" si="17"/>
        <v>0</v>
      </c>
      <c r="K115" s="2">
        <f>(J115*$N$3)/$N$2</f>
        <v>0</v>
      </c>
    </row>
    <row r="116" spans="1:11" x14ac:dyDescent="0.3">
      <c r="A116" t="s">
        <v>11</v>
      </c>
      <c r="B116">
        <v>8</v>
      </c>
      <c r="C116">
        <v>11</v>
      </c>
      <c r="D116">
        <v>9010691.46875</v>
      </c>
      <c r="E116">
        <v>0</v>
      </c>
      <c r="F116">
        <v>1649.9</v>
      </c>
      <c r="G116" t="s">
        <v>6</v>
      </c>
      <c r="H116">
        <v>40</v>
      </c>
      <c r="I116">
        <f t="shared" si="17"/>
        <v>0.99999877922947311</v>
      </c>
      <c r="J116" s="6">
        <f t="shared" si="17"/>
        <v>0</v>
      </c>
      <c r="K116" s="2">
        <f>(J116*$N$3)/$N$2</f>
        <v>0</v>
      </c>
    </row>
    <row r="117" spans="1:11" x14ac:dyDescent="0.3">
      <c r="A117" t="s">
        <v>11</v>
      </c>
      <c r="B117">
        <v>2001</v>
      </c>
      <c r="C117">
        <v>2</v>
      </c>
      <c r="D117">
        <v>0</v>
      </c>
      <c r="E117">
        <v>0</v>
      </c>
      <c r="F117">
        <v>1664.26</v>
      </c>
    </row>
    <row r="118" spans="1:11" x14ac:dyDescent="0.3">
      <c r="A118" t="s">
        <v>11</v>
      </c>
      <c r="B118">
        <v>2001</v>
      </c>
      <c r="C118">
        <v>3</v>
      </c>
      <c r="D118">
        <v>0</v>
      </c>
      <c r="E118">
        <v>0</v>
      </c>
      <c r="F118">
        <v>1678.58</v>
      </c>
    </row>
    <row r="119" spans="1:11" x14ac:dyDescent="0.3">
      <c r="A119" t="s">
        <v>11</v>
      </c>
      <c r="B119">
        <v>2001</v>
      </c>
      <c r="C119">
        <v>2</v>
      </c>
      <c r="D119">
        <v>0</v>
      </c>
      <c r="E119">
        <v>0</v>
      </c>
      <c r="F119">
        <v>1692.94</v>
      </c>
    </row>
    <row r="120" spans="1:11" x14ac:dyDescent="0.3">
      <c r="A120" t="s">
        <v>11</v>
      </c>
      <c r="B120">
        <v>2001</v>
      </c>
      <c r="C120">
        <v>3</v>
      </c>
      <c r="D120">
        <v>0</v>
      </c>
      <c r="E120">
        <v>0</v>
      </c>
      <c r="F120">
        <v>1707.19</v>
      </c>
    </row>
    <row r="121" spans="1:11" x14ac:dyDescent="0.3">
      <c r="A121" t="s">
        <v>11</v>
      </c>
      <c r="B121">
        <v>7</v>
      </c>
      <c r="C121">
        <v>1</v>
      </c>
      <c r="D121">
        <v>9303212.91796875</v>
      </c>
      <c r="E121">
        <v>0</v>
      </c>
      <c r="F121">
        <v>1722.03</v>
      </c>
      <c r="G121" t="s">
        <v>7</v>
      </c>
      <c r="H121">
        <v>60</v>
      </c>
      <c r="I121">
        <f t="shared" ref="I121:J123" si="18">D121/(C121+D121)</f>
        <v>0.99999989251026489</v>
      </c>
      <c r="J121" s="6">
        <f t="shared" si="18"/>
        <v>0</v>
      </c>
      <c r="K121" s="2">
        <f>(J121*$N$3)/$N$2</f>
        <v>0</v>
      </c>
    </row>
    <row r="122" spans="1:11" x14ac:dyDescent="0.3">
      <c r="A122" t="s">
        <v>11</v>
      </c>
      <c r="B122">
        <v>7</v>
      </c>
      <c r="C122">
        <v>3</v>
      </c>
      <c r="D122">
        <v>9023807.5332031306</v>
      </c>
      <c r="E122">
        <v>0</v>
      </c>
      <c r="F122">
        <v>1736.95</v>
      </c>
      <c r="G122" t="s">
        <v>7</v>
      </c>
      <c r="H122">
        <v>60</v>
      </c>
      <c r="I122">
        <f t="shared" si="18"/>
        <v>0.99999966754621128</v>
      </c>
      <c r="J122" s="6">
        <f t="shared" si="18"/>
        <v>0</v>
      </c>
      <c r="K122" s="2">
        <f>(J122*$N$3)/$N$2</f>
        <v>0</v>
      </c>
    </row>
    <row r="123" spans="1:11" x14ac:dyDescent="0.3">
      <c r="A123" t="s">
        <v>11</v>
      </c>
      <c r="B123">
        <v>7</v>
      </c>
      <c r="C123">
        <v>5</v>
      </c>
      <c r="D123">
        <v>9373537.3559570294</v>
      </c>
      <c r="E123">
        <v>0</v>
      </c>
      <c r="F123">
        <v>1751.91</v>
      </c>
      <c r="G123" t="s">
        <v>7</v>
      </c>
      <c r="H123">
        <v>60</v>
      </c>
      <c r="I123">
        <f t="shared" si="18"/>
        <v>0.99999946658373007</v>
      </c>
      <c r="J123" s="6">
        <f t="shared" si="18"/>
        <v>0</v>
      </c>
      <c r="K123" s="2">
        <f>(J123*$N$3)/$N$2</f>
        <v>0</v>
      </c>
    </row>
    <row r="124" spans="1:11" x14ac:dyDescent="0.3">
      <c r="A124" t="s">
        <v>11</v>
      </c>
      <c r="B124">
        <v>2001</v>
      </c>
      <c r="C124">
        <v>2</v>
      </c>
      <c r="D124">
        <v>0</v>
      </c>
      <c r="E124">
        <v>0</v>
      </c>
      <c r="F124">
        <v>1766.32</v>
      </c>
    </row>
    <row r="125" spans="1:11" x14ac:dyDescent="0.3">
      <c r="A125" t="s">
        <v>11</v>
      </c>
      <c r="B125">
        <v>2001</v>
      </c>
      <c r="C125">
        <v>3</v>
      </c>
      <c r="D125">
        <v>0</v>
      </c>
      <c r="E125">
        <v>0</v>
      </c>
      <c r="F125">
        <v>1780.54</v>
      </c>
    </row>
    <row r="126" spans="1:11" x14ac:dyDescent="0.3">
      <c r="A126" t="s">
        <v>11</v>
      </c>
      <c r="B126">
        <v>2001</v>
      </c>
      <c r="C126">
        <v>2</v>
      </c>
      <c r="D126">
        <v>0</v>
      </c>
      <c r="E126">
        <v>0</v>
      </c>
      <c r="F126">
        <v>1794.9</v>
      </c>
    </row>
    <row r="127" spans="1:11" x14ac:dyDescent="0.3">
      <c r="A127" t="s">
        <v>11</v>
      </c>
      <c r="B127">
        <v>2001</v>
      </c>
      <c r="C127">
        <v>3</v>
      </c>
      <c r="D127">
        <v>0</v>
      </c>
      <c r="E127">
        <v>0</v>
      </c>
      <c r="F127">
        <v>1809.08</v>
      </c>
    </row>
    <row r="128" spans="1:11" x14ac:dyDescent="0.3">
      <c r="A128" t="s">
        <v>11</v>
      </c>
      <c r="B128">
        <v>7</v>
      </c>
      <c r="C128">
        <v>7</v>
      </c>
      <c r="D128">
        <v>9070013.125</v>
      </c>
      <c r="E128">
        <v>12070.701171875</v>
      </c>
      <c r="F128">
        <v>1823.94</v>
      </c>
      <c r="G128" t="s">
        <v>6</v>
      </c>
      <c r="H128">
        <v>60</v>
      </c>
      <c r="I128">
        <f t="shared" ref="I128:J130" si="19">D128/(C128+D128)</f>
        <v>0.99999922822662979</v>
      </c>
      <c r="J128" s="6">
        <f t="shared" si="19"/>
        <v>1.3290673597496222E-3</v>
      </c>
      <c r="K128" s="2">
        <f>(J128*$N$3)/$N$2</f>
        <v>3.090854324999121E-3</v>
      </c>
    </row>
    <row r="129" spans="1:11" x14ac:dyDescent="0.3">
      <c r="A129" t="s">
        <v>11</v>
      </c>
      <c r="B129">
        <v>7</v>
      </c>
      <c r="C129">
        <v>9</v>
      </c>
      <c r="D129">
        <v>8659052.9785156306</v>
      </c>
      <c r="E129">
        <v>23571.562988281301</v>
      </c>
      <c r="F129">
        <v>1838.63</v>
      </c>
      <c r="G129" t="s">
        <v>6</v>
      </c>
      <c r="H129">
        <v>60</v>
      </c>
      <c r="I129">
        <f t="shared" si="19"/>
        <v>0.99999896062644866</v>
      </c>
      <c r="J129" s="6">
        <f t="shared" si="19"/>
        <v>2.7147969920392856E-3</v>
      </c>
      <c r="K129" s="2">
        <f>(J129*$N$3)/$N$2</f>
        <v>6.3134813768355464E-3</v>
      </c>
    </row>
    <row r="130" spans="1:11" x14ac:dyDescent="0.3">
      <c r="A130" t="s">
        <v>11</v>
      </c>
      <c r="B130">
        <v>7</v>
      </c>
      <c r="C130">
        <v>11</v>
      </c>
      <c r="D130">
        <v>8868064.65625</v>
      </c>
      <c r="E130">
        <v>12824.0869140625</v>
      </c>
      <c r="F130">
        <v>1853.36</v>
      </c>
      <c r="G130" t="s">
        <v>6</v>
      </c>
      <c r="H130">
        <v>60</v>
      </c>
      <c r="I130">
        <f t="shared" si="19"/>
        <v>0.99999875959560713</v>
      </c>
      <c r="J130" s="6">
        <f t="shared" si="19"/>
        <v>1.4440094099741603E-3</v>
      </c>
      <c r="K130" s="2">
        <f>(J130*$N$3)/$N$2</f>
        <v>3.3581614185445585E-3</v>
      </c>
    </row>
    <row r="131" spans="1:11" x14ac:dyDescent="0.3">
      <c r="A131" t="s">
        <v>11</v>
      </c>
      <c r="B131">
        <v>2001</v>
      </c>
      <c r="C131">
        <v>2</v>
      </c>
      <c r="D131">
        <v>0</v>
      </c>
      <c r="E131">
        <v>0</v>
      </c>
      <c r="F131">
        <v>1867.79</v>
      </c>
    </row>
    <row r="132" spans="1:11" x14ac:dyDescent="0.3">
      <c r="A132" t="s">
        <v>11</v>
      </c>
      <c r="B132">
        <v>2001</v>
      </c>
      <c r="C132">
        <v>3</v>
      </c>
      <c r="D132">
        <v>0</v>
      </c>
      <c r="E132">
        <v>0</v>
      </c>
      <c r="F132">
        <v>1882</v>
      </c>
    </row>
    <row r="133" spans="1:11" x14ac:dyDescent="0.3">
      <c r="A133" t="s">
        <v>11</v>
      </c>
      <c r="B133">
        <v>2001</v>
      </c>
      <c r="C133">
        <v>2</v>
      </c>
      <c r="D133">
        <v>0</v>
      </c>
      <c r="E133">
        <v>0</v>
      </c>
      <c r="F133">
        <v>1896.3</v>
      </c>
    </row>
    <row r="134" spans="1:11" x14ac:dyDescent="0.3">
      <c r="A134" t="s">
        <v>11</v>
      </c>
      <c r="B134">
        <v>2001</v>
      </c>
      <c r="C134">
        <v>3</v>
      </c>
      <c r="D134">
        <v>0</v>
      </c>
      <c r="E134">
        <v>0</v>
      </c>
      <c r="F134">
        <v>1910.61</v>
      </c>
    </row>
    <row r="135" spans="1:11" x14ac:dyDescent="0.3">
      <c r="A135" t="s">
        <v>11</v>
      </c>
      <c r="B135">
        <v>6</v>
      </c>
      <c r="C135">
        <v>1</v>
      </c>
      <c r="D135">
        <v>8867053.0947265606</v>
      </c>
      <c r="E135">
        <v>0</v>
      </c>
      <c r="F135">
        <v>1925.45</v>
      </c>
      <c r="G135" t="s">
        <v>7</v>
      </c>
      <c r="H135">
        <v>90</v>
      </c>
      <c r="I135">
        <f t="shared" ref="I135:J137" si="20">D135/(C135+D135)</f>
        <v>0.99999988722297284</v>
      </c>
      <c r="J135" s="6">
        <f t="shared" si="20"/>
        <v>0</v>
      </c>
      <c r="K135" s="2">
        <f>(J135*$N$3)/$N$2</f>
        <v>0</v>
      </c>
    </row>
    <row r="136" spans="1:11" x14ac:dyDescent="0.3">
      <c r="A136" t="s">
        <v>11</v>
      </c>
      <c r="B136">
        <v>6</v>
      </c>
      <c r="C136">
        <v>3</v>
      </c>
      <c r="D136">
        <v>8607426.6503906306</v>
      </c>
      <c r="E136">
        <v>0</v>
      </c>
      <c r="F136">
        <v>1940.43</v>
      </c>
      <c r="G136" t="s">
        <v>7</v>
      </c>
      <c r="H136">
        <v>90</v>
      </c>
      <c r="I136">
        <f t="shared" si="20"/>
        <v>0.99999965146389547</v>
      </c>
      <c r="J136" s="6">
        <f t="shared" si="20"/>
        <v>0</v>
      </c>
      <c r="K136" s="2">
        <f>(J136*$N$3)/$N$2</f>
        <v>0</v>
      </c>
    </row>
    <row r="137" spans="1:11" x14ac:dyDescent="0.3">
      <c r="A137" t="s">
        <v>11</v>
      </c>
      <c r="B137">
        <v>6</v>
      </c>
      <c r="C137">
        <v>5</v>
      </c>
      <c r="D137">
        <v>8584104.6455078106</v>
      </c>
      <c r="E137">
        <v>0</v>
      </c>
      <c r="F137">
        <v>1955.27</v>
      </c>
      <c r="G137" t="s">
        <v>7</v>
      </c>
      <c r="H137">
        <v>90</v>
      </c>
      <c r="I137">
        <f t="shared" si="20"/>
        <v>0.99999941752840926</v>
      </c>
      <c r="J137" s="6">
        <f t="shared" si="20"/>
        <v>0</v>
      </c>
      <c r="K137" s="2">
        <f>(J137*$N$3)/$N$2</f>
        <v>0</v>
      </c>
    </row>
    <row r="138" spans="1:11" x14ac:dyDescent="0.3">
      <c r="A138" t="s">
        <v>11</v>
      </c>
      <c r="B138">
        <v>2001</v>
      </c>
      <c r="C138">
        <v>2</v>
      </c>
      <c r="D138">
        <v>0</v>
      </c>
      <c r="E138">
        <v>0</v>
      </c>
      <c r="F138">
        <v>1969.73</v>
      </c>
    </row>
    <row r="139" spans="1:11" x14ac:dyDescent="0.3">
      <c r="A139" t="s">
        <v>11</v>
      </c>
      <c r="B139">
        <v>2001</v>
      </c>
      <c r="C139">
        <v>3</v>
      </c>
      <c r="D139">
        <v>0</v>
      </c>
      <c r="E139">
        <v>0</v>
      </c>
      <c r="F139">
        <v>1983.94</v>
      </c>
    </row>
    <row r="140" spans="1:11" x14ac:dyDescent="0.3">
      <c r="A140" t="s">
        <v>11</v>
      </c>
      <c r="B140">
        <v>2001</v>
      </c>
      <c r="C140">
        <v>2</v>
      </c>
      <c r="D140">
        <v>0</v>
      </c>
      <c r="E140">
        <v>0</v>
      </c>
      <c r="F140">
        <v>1998.37</v>
      </c>
    </row>
    <row r="141" spans="1:11" x14ac:dyDescent="0.3">
      <c r="A141" t="s">
        <v>11</v>
      </c>
      <c r="B141">
        <v>2001</v>
      </c>
      <c r="C141">
        <v>3</v>
      </c>
      <c r="D141">
        <v>0</v>
      </c>
      <c r="E141">
        <v>0</v>
      </c>
      <c r="F141">
        <v>2012.56</v>
      </c>
    </row>
    <row r="142" spans="1:11" x14ac:dyDescent="0.3">
      <c r="A142" t="s">
        <v>11</v>
      </c>
      <c r="B142">
        <v>6</v>
      </c>
      <c r="C142">
        <v>7</v>
      </c>
      <c r="D142">
        <v>8256627.203125</v>
      </c>
      <c r="E142">
        <v>26967.465332031301</v>
      </c>
      <c r="F142">
        <v>2027.4</v>
      </c>
      <c r="G142" t="s">
        <v>6</v>
      </c>
      <c r="H142">
        <v>90</v>
      </c>
      <c r="I142">
        <f t="shared" ref="I142:J144" si="21">D142/(C142+D142)</f>
        <v>0.99999915219690882</v>
      </c>
      <c r="J142" s="6">
        <f t="shared" si="21"/>
        <v>3.2555269072640993E-3</v>
      </c>
      <c r="K142" s="2">
        <f>(J142*$N$3)/$N$2</f>
        <v>7.5709928075909268E-3</v>
      </c>
    </row>
    <row r="143" spans="1:11" x14ac:dyDescent="0.3">
      <c r="A143" t="s">
        <v>11</v>
      </c>
      <c r="B143">
        <v>6</v>
      </c>
      <c r="C143">
        <v>9</v>
      </c>
      <c r="D143">
        <v>7534003.5615234403</v>
      </c>
      <c r="E143">
        <v>36897.096191406301</v>
      </c>
      <c r="F143">
        <v>2042.41</v>
      </c>
      <c r="G143" t="s">
        <v>6</v>
      </c>
      <c r="H143">
        <v>90</v>
      </c>
      <c r="I143">
        <f t="shared" si="21"/>
        <v>0.99999880541744168</v>
      </c>
      <c r="J143" s="6">
        <f t="shared" si="21"/>
        <v>4.8735411887630142E-3</v>
      </c>
      <c r="K143" s="2">
        <f>(J143*$N$3)/$N$2</f>
        <v>1.1333816718053519E-2</v>
      </c>
    </row>
    <row r="144" spans="1:11" x14ac:dyDescent="0.3">
      <c r="A144" t="s">
        <v>11</v>
      </c>
      <c r="B144">
        <v>6</v>
      </c>
      <c r="C144">
        <v>11</v>
      </c>
      <c r="D144">
        <v>7873488.859375</v>
      </c>
      <c r="E144">
        <v>31851.020019531301</v>
      </c>
      <c r="F144">
        <v>2057.1</v>
      </c>
      <c r="G144" t="s">
        <v>6</v>
      </c>
      <c r="H144">
        <v>90</v>
      </c>
      <c r="I144">
        <f t="shared" si="21"/>
        <v>0.99999860290846554</v>
      </c>
      <c r="J144" s="6">
        <f t="shared" si="21"/>
        <v>4.0290513128413098E-3</v>
      </c>
      <c r="K144" s="2">
        <f>(J144*$N$3)/$N$2</f>
        <v>9.3698867740495562E-3</v>
      </c>
    </row>
    <row r="145" spans="1:11" x14ac:dyDescent="0.3">
      <c r="A145" t="s">
        <v>11</v>
      </c>
      <c r="B145">
        <v>2001</v>
      </c>
      <c r="C145">
        <v>2</v>
      </c>
      <c r="D145">
        <v>0</v>
      </c>
      <c r="E145">
        <v>0</v>
      </c>
      <c r="F145">
        <v>2071.52</v>
      </c>
    </row>
    <row r="146" spans="1:11" x14ac:dyDescent="0.3">
      <c r="A146" t="s">
        <v>11</v>
      </c>
      <c r="B146">
        <v>2001</v>
      </c>
      <c r="C146">
        <v>3</v>
      </c>
      <c r="D146">
        <v>0</v>
      </c>
      <c r="E146">
        <v>0</v>
      </c>
      <c r="F146">
        <v>2085.73</v>
      </c>
    </row>
    <row r="147" spans="1:11" x14ac:dyDescent="0.3">
      <c r="A147" t="s">
        <v>11</v>
      </c>
      <c r="B147">
        <v>2001</v>
      </c>
      <c r="C147">
        <v>2</v>
      </c>
      <c r="D147">
        <v>0</v>
      </c>
      <c r="E147">
        <v>0</v>
      </c>
      <c r="F147">
        <v>2100.1799999999998</v>
      </c>
    </row>
    <row r="148" spans="1:11" x14ac:dyDescent="0.3">
      <c r="A148" t="s">
        <v>11</v>
      </c>
      <c r="B148">
        <v>2001</v>
      </c>
      <c r="C148">
        <v>3</v>
      </c>
      <c r="D148">
        <v>0</v>
      </c>
      <c r="E148">
        <v>0</v>
      </c>
      <c r="F148">
        <v>2114.27</v>
      </c>
    </row>
    <row r="149" spans="1:11" x14ac:dyDescent="0.3">
      <c r="A149" t="s">
        <v>11</v>
      </c>
      <c r="B149">
        <v>2001</v>
      </c>
      <c r="C149">
        <v>2</v>
      </c>
      <c r="D149">
        <v>0</v>
      </c>
      <c r="E149">
        <v>0</v>
      </c>
      <c r="F149">
        <v>2128.7600000000002</v>
      </c>
    </row>
    <row r="150" spans="1:11" x14ac:dyDescent="0.3">
      <c r="A150" t="s">
        <v>11</v>
      </c>
      <c r="B150">
        <v>2001</v>
      </c>
      <c r="C150">
        <v>3</v>
      </c>
      <c r="D150">
        <v>0</v>
      </c>
      <c r="E150">
        <v>0</v>
      </c>
      <c r="F150">
        <v>2142.94</v>
      </c>
    </row>
    <row r="151" spans="1:11" x14ac:dyDescent="0.3">
      <c r="A151" t="s">
        <v>11</v>
      </c>
      <c r="B151">
        <v>5</v>
      </c>
      <c r="C151">
        <v>1</v>
      </c>
      <c r="D151">
        <v>8365849.7734375</v>
      </c>
      <c r="E151">
        <v>5255.1162109375</v>
      </c>
      <c r="F151">
        <v>2157.79</v>
      </c>
      <c r="G151" t="s">
        <v>7</v>
      </c>
      <c r="H151">
        <v>120</v>
      </c>
      <c r="I151">
        <f t="shared" ref="I151:J153" si="22">D151/(C151+D151)</f>
        <v>0.99999988046643107</v>
      </c>
      <c r="J151" s="6">
        <f t="shared" si="22"/>
        <v>6.2776852998651172E-4</v>
      </c>
      <c r="K151" s="2">
        <f>(J151*$N$3)/$N$2</f>
        <v>1.4599268139221201E-3</v>
      </c>
    </row>
    <row r="152" spans="1:11" x14ac:dyDescent="0.3">
      <c r="A152" t="s">
        <v>11</v>
      </c>
      <c r="B152">
        <v>5</v>
      </c>
      <c r="C152">
        <v>3</v>
      </c>
      <c r="D152">
        <v>7823905.5722656297</v>
      </c>
      <c r="E152">
        <v>0</v>
      </c>
      <c r="F152">
        <v>2172.7199999999998</v>
      </c>
      <c r="G152" t="s">
        <v>7</v>
      </c>
      <c r="H152">
        <v>120</v>
      </c>
      <c r="I152">
        <f t="shared" si="22"/>
        <v>0.99999961655993652</v>
      </c>
      <c r="J152" s="6">
        <f t="shared" si="22"/>
        <v>0</v>
      </c>
      <c r="K152" s="2">
        <f>(J152*$N$3)/$N$2</f>
        <v>0</v>
      </c>
    </row>
    <row r="153" spans="1:11" x14ac:dyDescent="0.3">
      <c r="A153" t="s">
        <v>11</v>
      </c>
      <c r="B153">
        <v>5</v>
      </c>
      <c r="C153">
        <v>5</v>
      </c>
      <c r="D153">
        <v>8149693.61181641</v>
      </c>
      <c r="E153">
        <v>0</v>
      </c>
      <c r="F153">
        <v>2187.6999999999998</v>
      </c>
      <c r="G153" t="s">
        <v>7</v>
      </c>
      <c r="H153">
        <v>120</v>
      </c>
      <c r="I153">
        <f t="shared" si="22"/>
        <v>0.99999938648037945</v>
      </c>
      <c r="J153" s="6">
        <f t="shared" si="22"/>
        <v>0</v>
      </c>
      <c r="K153" s="2">
        <f>(J153*$N$3)/$N$2</f>
        <v>0</v>
      </c>
    </row>
    <row r="154" spans="1:11" x14ac:dyDescent="0.3">
      <c r="A154" t="s">
        <v>11</v>
      </c>
      <c r="B154">
        <v>2001</v>
      </c>
      <c r="C154">
        <v>2</v>
      </c>
      <c r="D154">
        <v>0</v>
      </c>
      <c r="E154">
        <v>0</v>
      </c>
      <c r="F154">
        <v>2202.0500000000002</v>
      </c>
    </row>
    <row r="155" spans="1:11" x14ac:dyDescent="0.3">
      <c r="A155" t="s">
        <v>11</v>
      </c>
      <c r="B155">
        <v>2001</v>
      </c>
      <c r="C155">
        <v>3</v>
      </c>
      <c r="D155">
        <v>0</v>
      </c>
      <c r="E155">
        <v>0</v>
      </c>
      <c r="F155">
        <v>2216.2800000000002</v>
      </c>
    </row>
    <row r="156" spans="1:11" x14ac:dyDescent="0.3">
      <c r="A156" t="s">
        <v>11</v>
      </c>
      <c r="B156">
        <v>5</v>
      </c>
      <c r="C156">
        <v>7</v>
      </c>
      <c r="D156">
        <v>7261695.1606445303</v>
      </c>
      <c r="E156">
        <v>54026.064453125</v>
      </c>
      <c r="F156">
        <v>2231.11</v>
      </c>
      <c r="G156" t="s">
        <v>6</v>
      </c>
      <c r="H156">
        <v>120</v>
      </c>
      <c r="I156">
        <f t="shared" ref="I156:J158" si="23">D156/(C156+D156)</f>
        <v>0.99999903603868001</v>
      </c>
      <c r="J156" s="6">
        <f t="shared" si="23"/>
        <v>7.3849266245658261E-3</v>
      </c>
      <c r="K156" s="2">
        <f>(J156*$N$3)/$N$2</f>
        <v>1.7174247964106569E-2</v>
      </c>
    </row>
    <row r="157" spans="1:11" x14ac:dyDescent="0.3">
      <c r="A157" t="s">
        <v>11</v>
      </c>
      <c r="B157">
        <v>5</v>
      </c>
      <c r="C157">
        <v>9</v>
      </c>
      <c r="D157">
        <v>7107020.6245117197</v>
      </c>
      <c r="E157">
        <v>50861.431152343801</v>
      </c>
      <c r="F157">
        <v>2245.9</v>
      </c>
      <c r="G157" t="s">
        <v>6</v>
      </c>
      <c r="H157">
        <v>120</v>
      </c>
      <c r="I157">
        <f t="shared" si="23"/>
        <v>0.99999873364816594</v>
      </c>
      <c r="J157" s="6">
        <f t="shared" si="23"/>
        <v>7.1056537054975536E-3</v>
      </c>
      <c r="K157" s="2">
        <f>(J157*$N$3)/$N$2</f>
        <v>1.6524776059296635E-2</v>
      </c>
    </row>
    <row r="158" spans="1:11" x14ac:dyDescent="0.3">
      <c r="A158" t="s">
        <v>11</v>
      </c>
      <c r="B158">
        <v>5</v>
      </c>
      <c r="C158">
        <v>11</v>
      </c>
      <c r="D158">
        <v>7394465.5229492197</v>
      </c>
      <c r="E158">
        <v>49547.488769531301</v>
      </c>
      <c r="F158">
        <v>2260.66</v>
      </c>
      <c r="G158" t="s">
        <v>6</v>
      </c>
      <c r="H158">
        <v>120</v>
      </c>
      <c r="I158">
        <f t="shared" si="23"/>
        <v>0.99999851240314774</v>
      </c>
      <c r="J158" s="6">
        <f t="shared" si="23"/>
        <v>6.6560185603559635E-3</v>
      </c>
      <c r="K158" s="2">
        <f>(J158*$N$3)/$N$2</f>
        <v>1.5479112931060378E-2</v>
      </c>
    </row>
    <row r="159" spans="1:11" x14ac:dyDescent="0.3">
      <c r="A159" t="s">
        <v>11</v>
      </c>
      <c r="B159">
        <v>2001</v>
      </c>
      <c r="C159">
        <v>2</v>
      </c>
      <c r="D159">
        <v>0</v>
      </c>
      <c r="E159">
        <v>0</v>
      </c>
      <c r="F159">
        <v>2274.9899999999998</v>
      </c>
    </row>
    <row r="160" spans="1:11" x14ac:dyDescent="0.3">
      <c r="A160" t="s">
        <v>11</v>
      </c>
      <c r="B160">
        <v>2001</v>
      </c>
      <c r="C160">
        <v>3</v>
      </c>
      <c r="D160">
        <v>0</v>
      </c>
      <c r="E160">
        <v>0</v>
      </c>
      <c r="F160">
        <v>2289.2800000000002</v>
      </c>
    </row>
    <row r="161" spans="1:11" x14ac:dyDescent="0.3">
      <c r="A161" t="s">
        <v>11</v>
      </c>
      <c r="B161">
        <v>2001</v>
      </c>
      <c r="C161">
        <v>2</v>
      </c>
      <c r="D161">
        <v>0</v>
      </c>
      <c r="E161">
        <v>0</v>
      </c>
      <c r="F161">
        <v>2303.66</v>
      </c>
    </row>
    <row r="162" spans="1:11" x14ac:dyDescent="0.3">
      <c r="A162" t="s">
        <v>11</v>
      </c>
      <c r="B162">
        <v>2001</v>
      </c>
      <c r="C162">
        <v>3</v>
      </c>
      <c r="D162">
        <v>0</v>
      </c>
      <c r="E162">
        <v>0</v>
      </c>
      <c r="F162">
        <v>2317.86</v>
      </c>
    </row>
    <row r="163" spans="1:11" x14ac:dyDescent="0.3">
      <c r="A163" t="s">
        <v>11</v>
      </c>
      <c r="B163">
        <v>4</v>
      </c>
      <c r="C163">
        <v>1</v>
      </c>
      <c r="D163">
        <v>0</v>
      </c>
      <c r="E163">
        <v>0</v>
      </c>
      <c r="F163">
        <v>2332.7399999999998</v>
      </c>
      <c r="G163" t="s">
        <v>7</v>
      </c>
      <c r="H163">
        <v>300</v>
      </c>
      <c r="I163">
        <f t="shared" ref="I163:J165" si="24">D163/(C163+D163)</f>
        <v>0</v>
      </c>
      <c r="J163" s="6" t="e">
        <f t="shared" si="24"/>
        <v>#DIV/0!</v>
      </c>
      <c r="K163" s="2" t="e">
        <f>(J163*$N$3)/$N$2</f>
        <v>#DIV/0!</v>
      </c>
    </row>
    <row r="164" spans="1:11" x14ac:dyDescent="0.3">
      <c r="A164" t="s">
        <v>11</v>
      </c>
      <c r="B164">
        <v>4</v>
      </c>
      <c r="C164">
        <v>3</v>
      </c>
      <c r="D164">
        <v>0</v>
      </c>
      <c r="E164">
        <v>0</v>
      </c>
      <c r="F164">
        <v>2347.6799999999998</v>
      </c>
      <c r="G164" t="s">
        <v>7</v>
      </c>
      <c r="H164">
        <v>300</v>
      </c>
      <c r="I164">
        <f t="shared" si="24"/>
        <v>0</v>
      </c>
      <c r="J164" s="6" t="e">
        <f t="shared" si="24"/>
        <v>#DIV/0!</v>
      </c>
      <c r="K164" s="2" t="e">
        <f>(J164*$N$3)/$N$2</f>
        <v>#DIV/0!</v>
      </c>
    </row>
    <row r="165" spans="1:11" x14ac:dyDescent="0.3">
      <c r="A165" t="s">
        <v>11</v>
      </c>
      <c r="B165">
        <v>4</v>
      </c>
      <c r="C165">
        <v>5</v>
      </c>
      <c r="D165">
        <v>0</v>
      </c>
      <c r="E165">
        <v>0</v>
      </c>
      <c r="F165">
        <v>2362.5300000000002</v>
      </c>
      <c r="G165" t="s">
        <v>7</v>
      </c>
      <c r="H165">
        <v>300</v>
      </c>
      <c r="I165">
        <f t="shared" si="24"/>
        <v>0</v>
      </c>
      <c r="J165" s="6" t="e">
        <f t="shared" si="24"/>
        <v>#DIV/0!</v>
      </c>
      <c r="K165" s="2" t="e">
        <f>(J165*$N$3)/$N$2</f>
        <v>#DIV/0!</v>
      </c>
    </row>
    <row r="166" spans="1:11" x14ac:dyDescent="0.3">
      <c r="A166" t="s">
        <v>11</v>
      </c>
      <c r="B166">
        <v>2001</v>
      </c>
      <c r="C166">
        <v>2</v>
      </c>
      <c r="D166">
        <v>0</v>
      </c>
      <c r="E166">
        <v>0</v>
      </c>
      <c r="F166">
        <v>2376.9499999999998</v>
      </c>
    </row>
    <row r="167" spans="1:11" x14ac:dyDescent="0.3">
      <c r="A167" t="s">
        <v>11</v>
      </c>
      <c r="B167">
        <v>2001</v>
      </c>
      <c r="C167">
        <v>3</v>
      </c>
      <c r="D167">
        <v>0</v>
      </c>
      <c r="E167">
        <v>0</v>
      </c>
      <c r="F167">
        <v>2391.23</v>
      </c>
    </row>
    <row r="168" spans="1:11" x14ac:dyDescent="0.3">
      <c r="A168" t="s">
        <v>11</v>
      </c>
      <c r="B168">
        <v>4</v>
      </c>
      <c r="C168">
        <v>7</v>
      </c>
      <c r="D168">
        <v>0</v>
      </c>
      <c r="E168">
        <v>0</v>
      </c>
      <c r="F168">
        <v>2406.0700000000002</v>
      </c>
      <c r="G168" t="s">
        <v>6</v>
      </c>
      <c r="H168">
        <v>300</v>
      </c>
      <c r="I168">
        <f t="shared" ref="I168:J170" si="25">D168/(C168+D168)</f>
        <v>0</v>
      </c>
      <c r="J168" s="6" t="e">
        <f>E168/(D168+E168)</f>
        <v>#DIV/0!</v>
      </c>
      <c r="K168" s="2" t="e">
        <f>(J168*$N$3)/$N$2</f>
        <v>#DIV/0!</v>
      </c>
    </row>
    <row r="169" spans="1:11" x14ac:dyDescent="0.3">
      <c r="A169" t="s">
        <v>11</v>
      </c>
      <c r="B169">
        <v>4</v>
      </c>
      <c r="C169">
        <v>9</v>
      </c>
      <c r="D169">
        <v>0</v>
      </c>
      <c r="E169">
        <v>0</v>
      </c>
      <c r="F169">
        <v>2421.06</v>
      </c>
      <c r="G169" t="s">
        <v>6</v>
      </c>
      <c r="H169">
        <v>300</v>
      </c>
      <c r="I169">
        <f t="shared" si="25"/>
        <v>0</v>
      </c>
      <c r="J169" s="6" t="e">
        <f t="shared" si="25"/>
        <v>#DIV/0!</v>
      </c>
      <c r="K169" s="2" t="e">
        <f>(J169*$N$3)/$N$2</f>
        <v>#DIV/0!</v>
      </c>
    </row>
    <row r="170" spans="1:11" x14ac:dyDescent="0.3">
      <c r="A170" t="s">
        <v>11</v>
      </c>
      <c r="B170">
        <v>4</v>
      </c>
      <c r="C170">
        <v>11</v>
      </c>
      <c r="D170">
        <v>0</v>
      </c>
      <c r="E170">
        <v>0</v>
      </c>
      <c r="F170">
        <v>2435.67</v>
      </c>
      <c r="G170" t="s">
        <v>6</v>
      </c>
      <c r="H170">
        <v>300</v>
      </c>
      <c r="I170">
        <f t="shared" si="25"/>
        <v>0</v>
      </c>
      <c r="J170" s="6" t="e">
        <f t="shared" si="25"/>
        <v>#DIV/0!</v>
      </c>
      <c r="K170" s="2" t="e">
        <f>(J170*$N$3)/$N$2</f>
        <v>#DIV/0!</v>
      </c>
    </row>
    <row r="171" spans="1:11" x14ac:dyDescent="0.3">
      <c r="A171" t="s">
        <v>11</v>
      </c>
      <c r="B171">
        <v>2001</v>
      </c>
      <c r="C171">
        <v>2</v>
      </c>
      <c r="D171">
        <v>0</v>
      </c>
      <c r="E171">
        <v>0</v>
      </c>
      <c r="F171">
        <v>2450.1</v>
      </c>
    </row>
    <row r="172" spans="1:11" x14ac:dyDescent="0.3">
      <c r="A172" t="s">
        <v>11</v>
      </c>
      <c r="B172">
        <v>2001</v>
      </c>
      <c r="C172">
        <v>3</v>
      </c>
      <c r="D172">
        <v>0</v>
      </c>
      <c r="E172">
        <v>0</v>
      </c>
      <c r="F172">
        <v>2464.39</v>
      </c>
    </row>
    <row r="173" spans="1:11" x14ac:dyDescent="0.3">
      <c r="A173" t="s">
        <v>11</v>
      </c>
      <c r="B173">
        <v>2001</v>
      </c>
      <c r="C173">
        <v>2</v>
      </c>
      <c r="D173">
        <v>0</v>
      </c>
      <c r="E173">
        <v>0</v>
      </c>
      <c r="F173">
        <v>2478.71</v>
      </c>
    </row>
    <row r="174" spans="1:11" x14ac:dyDescent="0.3">
      <c r="A174" t="s">
        <v>11</v>
      </c>
      <c r="B174">
        <v>2001</v>
      </c>
      <c r="C174">
        <v>3</v>
      </c>
      <c r="D174">
        <v>0</v>
      </c>
      <c r="E174">
        <v>0</v>
      </c>
      <c r="F174">
        <v>2492.92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D530-3D51-4267-AED9-C21C8C182013}">
  <dimension ref="A1:S172"/>
  <sheetViews>
    <sheetView topLeftCell="I1" workbookViewId="0">
      <selection activeCell="R9" sqref="R9:S20"/>
    </sheetView>
  </sheetViews>
  <sheetFormatPr defaultRowHeight="14.4" x14ac:dyDescent="0.3"/>
  <cols>
    <col min="10" max="10" width="8.88671875" style="6"/>
    <col min="14" max="15" width="9.33203125" bestFit="1" customWidth="1"/>
  </cols>
  <sheetData>
    <row r="1" spans="1:19" x14ac:dyDescent="0.3">
      <c r="A1" t="s">
        <v>12</v>
      </c>
    </row>
    <row r="2" spans="1:19" x14ac:dyDescent="0.3">
      <c r="A2" t="s">
        <v>0</v>
      </c>
      <c r="B2" t="s">
        <v>1</v>
      </c>
      <c r="C2" t="s">
        <v>2</v>
      </c>
      <c r="D2">
        <v>1442.73</v>
      </c>
      <c r="E2">
        <v>1474.73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 s="2">
        <v>2.5400000000000002E-3</v>
      </c>
    </row>
    <row r="3" spans="1:19" x14ac:dyDescent="0.3">
      <c r="A3" t="s">
        <v>11</v>
      </c>
      <c r="B3">
        <v>2001</v>
      </c>
      <c r="C3">
        <v>2</v>
      </c>
      <c r="D3">
        <v>0</v>
      </c>
      <c r="E3">
        <v>0</v>
      </c>
      <c r="F3">
        <v>5</v>
      </c>
      <c r="M3" t="s">
        <v>15</v>
      </c>
      <c r="N3" s="2">
        <v>8.9999999999999993E-3</v>
      </c>
    </row>
    <row r="4" spans="1:19" x14ac:dyDescent="0.3">
      <c r="A4" t="s">
        <v>11</v>
      </c>
      <c r="B4">
        <v>2001</v>
      </c>
      <c r="C4">
        <v>3</v>
      </c>
      <c r="D4">
        <v>0</v>
      </c>
      <c r="E4">
        <v>0</v>
      </c>
      <c r="F4">
        <v>19.21</v>
      </c>
    </row>
    <row r="5" spans="1:19" x14ac:dyDescent="0.3">
      <c r="A5" t="s">
        <v>11</v>
      </c>
      <c r="B5">
        <v>2001</v>
      </c>
      <c r="C5">
        <v>2</v>
      </c>
      <c r="D5">
        <v>0</v>
      </c>
      <c r="E5">
        <v>0</v>
      </c>
      <c r="F5">
        <v>33.54</v>
      </c>
    </row>
    <row r="6" spans="1:19" ht="15.6" x14ac:dyDescent="0.3">
      <c r="A6" t="s">
        <v>11</v>
      </c>
      <c r="B6">
        <v>2001</v>
      </c>
      <c r="C6">
        <v>3</v>
      </c>
      <c r="D6">
        <v>0</v>
      </c>
      <c r="E6">
        <v>0</v>
      </c>
      <c r="F6">
        <v>47.86</v>
      </c>
      <c r="M6" s="3"/>
      <c r="N6" s="4" t="s">
        <v>17</v>
      </c>
      <c r="O6" s="3"/>
      <c r="Q6" s="3"/>
      <c r="R6" s="4"/>
      <c r="S6" s="3"/>
    </row>
    <row r="7" spans="1:19" ht="15.6" x14ac:dyDescent="0.3">
      <c r="A7" t="s">
        <v>11</v>
      </c>
      <c r="B7">
        <v>16</v>
      </c>
      <c r="C7">
        <v>14</v>
      </c>
      <c r="D7">
        <v>15362518.8369141</v>
      </c>
      <c r="E7">
        <v>0</v>
      </c>
      <c r="F7">
        <v>62.71</v>
      </c>
      <c r="G7" t="s">
        <v>7</v>
      </c>
      <c r="H7">
        <v>0</v>
      </c>
      <c r="I7">
        <f>E7/(E7+D7)</f>
        <v>0</v>
      </c>
      <c r="J7" s="6">
        <f t="shared" ref="J7:J9" si="0">E7/(D7+E7)</f>
        <v>0</v>
      </c>
      <c r="K7" s="2">
        <f>(J7*$N$3)/$N$2</f>
        <v>0</v>
      </c>
      <c r="M7" s="4" t="s">
        <v>18</v>
      </c>
      <c r="N7" s="4" t="s">
        <v>13</v>
      </c>
      <c r="O7" s="3" t="s">
        <v>19</v>
      </c>
      <c r="Q7" s="3"/>
      <c r="R7" s="4" t="s">
        <v>17</v>
      </c>
      <c r="S7" s="3"/>
    </row>
    <row r="8" spans="1:19" ht="15.6" x14ac:dyDescent="0.3">
      <c r="A8" t="s">
        <v>11</v>
      </c>
      <c r="B8">
        <v>16</v>
      </c>
      <c r="C8">
        <v>16</v>
      </c>
      <c r="D8">
        <v>14917980.294921899</v>
      </c>
      <c r="E8">
        <v>5333.72802734375</v>
      </c>
      <c r="F8">
        <v>77.62</v>
      </c>
      <c r="G8" t="s">
        <v>7</v>
      </c>
      <c r="H8">
        <v>0</v>
      </c>
      <c r="I8">
        <f t="shared" ref="I8:I9" si="1">E8/(E8+D8)</f>
        <v>3.5740908615482339E-4</v>
      </c>
      <c r="J8" s="6">
        <f t="shared" si="0"/>
        <v>3.5740908615482339E-4</v>
      </c>
      <c r="K8" s="2">
        <f>(J8*$N$3)/$N$2</f>
        <v>1.2664101477926812E-3</v>
      </c>
      <c r="M8" s="3">
        <v>0</v>
      </c>
      <c r="N8" s="5">
        <f>AVERAGE(K12:K14)</f>
        <v>3.4147149513292772</v>
      </c>
      <c r="O8" s="5">
        <f>STDEV(K12:K14)</f>
        <v>3.8269807052611791E-3</v>
      </c>
      <c r="Q8" s="4" t="s">
        <v>18</v>
      </c>
      <c r="R8" s="4" t="s">
        <v>20</v>
      </c>
      <c r="S8" s="3" t="s">
        <v>19</v>
      </c>
    </row>
    <row r="9" spans="1:19" ht="15.6" x14ac:dyDescent="0.3">
      <c r="A9" t="s">
        <v>11</v>
      </c>
      <c r="B9">
        <v>16</v>
      </c>
      <c r="C9">
        <v>18</v>
      </c>
      <c r="D9">
        <v>14256149.798828101</v>
      </c>
      <c r="E9">
        <v>282911.568359375</v>
      </c>
      <c r="F9">
        <v>92.6</v>
      </c>
      <c r="G9" t="s">
        <v>7</v>
      </c>
      <c r="H9">
        <v>0</v>
      </c>
      <c r="I9">
        <f t="shared" si="1"/>
        <v>1.9458723036816176E-2</v>
      </c>
      <c r="J9" s="6">
        <f t="shared" si="0"/>
        <v>1.9458723036816176E-2</v>
      </c>
      <c r="K9" s="2">
        <f>(J9*$N$3)/$N$2</f>
        <v>6.8948231232813212E-2</v>
      </c>
      <c r="M9" s="3">
        <v>0.5</v>
      </c>
      <c r="N9" s="5">
        <f>AVERAGE(K24:K26)</f>
        <v>3.4402009647763241</v>
      </c>
      <c r="O9" s="5">
        <f>STDEV(K24:K26)</f>
        <v>2.1446833137879692E-3</v>
      </c>
      <c r="Q9" s="3">
        <v>0</v>
      </c>
      <c r="R9" s="7">
        <f>AVERAGE(J12:J14)</f>
        <v>0.96370844181959614</v>
      </c>
      <c r="S9" s="7">
        <f>STDEV(J12:J14)</f>
        <v>1.0800589990404498E-3</v>
      </c>
    </row>
    <row r="10" spans="1:19" ht="15.6" x14ac:dyDescent="0.3">
      <c r="A10" t="s">
        <v>11</v>
      </c>
      <c r="B10">
        <v>2001</v>
      </c>
      <c r="C10">
        <v>2</v>
      </c>
      <c r="D10">
        <v>0</v>
      </c>
      <c r="E10">
        <v>0</v>
      </c>
      <c r="F10">
        <v>106.92</v>
      </c>
      <c r="M10" s="3">
        <v>1</v>
      </c>
      <c r="N10" s="5">
        <f>AVERAGE(K36:K38)</f>
        <v>3.4388589504435081</v>
      </c>
      <c r="O10" s="5">
        <f>STDEV(K36:K38)</f>
        <v>2.0706835327922489E-3</v>
      </c>
      <c r="Q10" s="3">
        <v>0.5</v>
      </c>
      <c r="R10" s="7">
        <f>AVERAGE(J24:J26)</f>
        <v>0.97090116117020708</v>
      </c>
      <c r="S10" s="7">
        <f>STDEV(J24:J26)</f>
        <v>6.0527729078017781E-4</v>
      </c>
    </row>
    <row r="11" spans="1:19" ht="15.6" x14ac:dyDescent="0.3">
      <c r="A11" t="s">
        <v>11</v>
      </c>
      <c r="B11">
        <v>2001</v>
      </c>
      <c r="C11">
        <v>3</v>
      </c>
      <c r="D11">
        <v>0</v>
      </c>
      <c r="E11">
        <v>0</v>
      </c>
      <c r="F11">
        <v>121.12</v>
      </c>
      <c r="M11" s="3">
        <v>1.5</v>
      </c>
      <c r="N11" s="5">
        <f>AVERAGE(K48:K50)</f>
        <v>3.4401972133366066</v>
      </c>
      <c r="O11" s="5">
        <f>STDEV(K48:K50)</f>
        <v>4.1354052337439417E-3</v>
      </c>
      <c r="Q11" s="3">
        <v>1</v>
      </c>
      <c r="R11" s="7">
        <f>AVERAGE(J37:J39)</f>
        <v>0.97026274611809438</v>
      </c>
      <c r="S11" s="7">
        <f>STDEV(J37:J39)</f>
        <v>5.2769581694375864E-4</v>
      </c>
    </row>
    <row r="12" spans="1:19" ht="15.6" x14ac:dyDescent="0.3">
      <c r="A12" t="s">
        <v>11</v>
      </c>
      <c r="B12">
        <v>16</v>
      </c>
      <c r="C12">
        <v>20</v>
      </c>
      <c r="D12">
        <v>310074.09326171898</v>
      </c>
      <c r="E12">
        <v>7970878.078125</v>
      </c>
      <c r="F12">
        <v>135.94999999999999</v>
      </c>
      <c r="G12" t="s">
        <v>6</v>
      </c>
      <c r="H12">
        <v>0</v>
      </c>
      <c r="I12">
        <f>E12/(E12+D12)</f>
        <v>0.96255574397191646</v>
      </c>
      <c r="J12" s="6">
        <f t="shared" ref="J12:J14" si="2">E12/(D12+E12)</f>
        <v>0.96255574397191646</v>
      </c>
      <c r="K12" s="2">
        <f>(J12*$N$3)/$N$2</f>
        <v>3.4106305888768693</v>
      </c>
      <c r="M12" s="3">
        <v>3</v>
      </c>
      <c r="N12" s="5">
        <f>AVERAGE(K60:K62)</f>
        <v>3.4425092624119316</v>
      </c>
      <c r="O12" s="5">
        <f>STDEV(K60:K62)</f>
        <v>1.1911695496657502E-3</v>
      </c>
      <c r="Q12" s="3">
        <v>1.5</v>
      </c>
      <c r="R12" s="7">
        <f>AVERAGE(J49:J51)</f>
        <v>0.9705367311811286</v>
      </c>
      <c r="S12" s="7">
        <f>STDEV(J49:J51)</f>
        <v>1.3899741096661162E-3</v>
      </c>
    </row>
    <row r="13" spans="1:19" ht="15.6" x14ac:dyDescent="0.3">
      <c r="A13" t="s">
        <v>11</v>
      </c>
      <c r="B13">
        <v>16</v>
      </c>
      <c r="C13">
        <v>22</v>
      </c>
      <c r="D13">
        <v>273745.98486328102</v>
      </c>
      <c r="E13">
        <v>7480459.2221679697</v>
      </c>
      <c r="F13">
        <v>150.94999999999999</v>
      </c>
      <c r="G13" t="s">
        <v>6</v>
      </c>
      <c r="H13">
        <v>0</v>
      </c>
      <c r="I13">
        <f t="shared" ref="I13:I14" si="3">E13/(E13+D13)</f>
        <v>0.96469709305409435</v>
      </c>
      <c r="J13" s="6">
        <f t="shared" si="2"/>
        <v>0.96469709305409435</v>
      </c>
      <c r="K13" s="2">
        <f>(J13*$N$3)/$N$2</f>
        <v>3.4182180462546645</v>
      </c>
      <c r="M13" s="3">
        <v>5</v>
      </c>
      <c r="N13" s="5" t="e">
        <f>AVERAGE(K72:K74)</f>
        <v>#DIV/0!</v>
      </c>
      <c r="O13" s="5" t="e">
        <f>STDEV(K72:K74)</f>
        <v>#DIV/0!</v>
      </c>
      <c r="Q13" s="3">
        <v>3</v>
      </c>
      <c r="R13" s="7">
        <f>AVERAGE(J61:J63)</f>
        <v>0.97137156094920107</v>
      </c>
      <c r="S13" s="7">
        <f>STDEV(J61:J63)</f>
        <v>1.7130452987867246E-4</v>
      </c>
    </row>
    <row r="14" spans="1:19" ht="15.6" x14ac:dyDescent="0.3">
      <c r="A14" t="s">
        <v>11</v>
      </c>
      <c r="B14">
        <v>16</v>
      </c>
      <c r="C14">
        <v>24</v>
      </c>
      <c r="D14">
        <v>277656.11767578102</v>
      </c>
      <c r="E14">
        <v>7407792.0527343797</v>
      </c>
      <c r="F14">
        <v>165.76</v>
      </c>
      <c r="G14" t="s">
        <v>6</v>
      </c>
      <c r="H14">
        <v>0</v>
      </c>
      <c r="I14">
        <f t="shared" si="3"/>
        <v>0.96387248843277762</v>
      </c>
      <c r="J14" s="6">
        <f t="shared" si="2"/>
        <v>0.96387248843277762</v>
      </c>
      <c r="K14" s="2">
        <f>(J14*$N$3)/$N$2</f>
        <v>3.4152962188562981</v>
      </c>
      <c r="M14" s="3">
        <v>10</v>
      </c>
      <c r="N14" s="5">
        <f>AVERAGE(K84:K86)</f>
        <v>3.4342830652587129</v>
      </c>
      <c r="O14" s="5">
        <f>STDEV(K84:K86)</f>
        <v>2.3945435995609142E-3</v>
      </c>
      <c r="Q14" s="3">
        <v>5</v>
      </c>
      <c r="R14" s="7" t="e">
        <f>AVERAGE(J73:J75)</f>
        <v>#DIV/0!</v>
      </c>
      <c r="S14" s="7" t="e">
        <f>STDEV(J73:J75)</f>
        <v>#DIV/0!</v>
      </c>
    </row>
    <row r="15" spans="1:19" ht="15.6" x14ac:dyDescent="0.3">
      <c r="A15" t="s">
        <v>11</v>
      </c>
      <c r="B15">
        <v>2001</v>
      </c>
      <c r="C15">
        <v>2</v>
      </c>
      <c r="D15">
        <v>0</v>
      </c>
      <c r="E15">
        <v>0</v>
      </c>
      <c r="F15">
        <v>180.29</v>
      </c>
      <c r="M15" s="3">
        <v>20</v>
      </c>
      <c r="N15" s="5">
        <f>AVERAGE(K96:K98)</f>
        <v>3.4495537873413347</v>
      </c>
      <c r="O15" s="5">
        <f>STDEV(K96:K98)</f>
        <v>5.1412540827733416E-3</v>
      </c>
      <c r="Q15" s="3">
        <v>10</v>
      </c>
      <c r="R15" s="7">
        <f>AVERAGE(J85:J87)</f>
        <v>0.96893795028846674</v>
      </c>
      <c r="S15" s="7">
        <f>STDEV(J85:J87)</f>
        <v>6.3097563062866451E-4</v>
      </c>
    </row>
    <row r="16" spans="1:19" ht="15.6" x14ac:dyDescent="0.3">
      <c r="A16" t="s">
        <v>11</v>
      </c>
      <c r="B16">
        <v>2001</v>
      </c>
      <c r="C16">
        <v>3</v>
      </c>
      <c r="D16">
        <v>0</v>
      </c>
      <c r="E16">
        <v>0</v>
      </c>
      <c r="F16">
        <v>194.51</v>
      </c>
      <c r="M16" s="3">
        <v>40</v>
      </c>
      <c r="N16" s="5">
        <f>AVERAGE(K112:K114)</f>
        <v>3.4596002951883764</v>
      </c>
      <c r="O16" s="5">
        <f>STDEV(K112:K114)</f>
        <v>1.8293943414804604E-4</v>
      </c>
      <c r="Q16" s="3">
        <v>20</v>
      </c>
      <c r="R16" s="7">
        <f>AVERAGE(J97:J99)</f>
        <v>0.97309933939953663</v>
      </c>
      <c r="S16" s="7">
        <f>STDEV(J97:J99)</f>
        <v>1.7440413640600041E-3</v>
      </c>
    </row>
    <row r="17" spans="1:19" ht="15.6" x14ac:dyDescent="0.3">
      <c r="A17" t="s">
        <v>11</v>
      </c>
      <c r="B17">
        <v>2001</v>
      </c>
      <c r="C17">
        <v>2</v>
      </c>
      <c r="D17">
        <v>0</v>
      </c>
      <c r="E17">
        <v>0</v>
      </c>
      <c r="F17">
        <v>208.79</v>
      </c>
      <c r="M17" s="3">
        <v>60</v>
      </c>
      <c r="N17" s="5">
        <f>AVERAGE(K126:K128)</f>
        <v>3.4665434553705858</v>
      </c>
      <c r="O17" s="5">
        <f>STDEV(K126:K128)</f>
        <v>2.1939713045947542E-3</v>
      </c>
      <c r="Q17" s="3">
        <v>40</v>
      </c>
      <c r="R17" s="7">
        <f>AVERAGE(J113:J115)</f>
        <v>0.97640559429047036</v>
      </c>
      <c r="S17" s="7">
        <f>STDEV(J113:J115)</f>
        <v>1.0287734669534487E-5</v>
      </c>
    </row>
    <row r="18" spans="1:19" ht="15.6" x14ac:dyDescent="0.3">
      <c r="A18" t="s">
        <v>11</v>
      </c>
      <c r="B18">
        <v>2001</v>
      </c>
      <c r="C18">
        <v>3</v>
      </c>
      <c r="D18">
        <v>0</v>
      </c>
      <c r="E18">
        <v>0</v>
      </c>
      <c r="F18">
        <v>222.99</v>
      </c>
      <c r="M18" s="3">
        <v>90</v>
      </c>
      <c r="N18" s="5" t="e">
        <f>AVERAGE(K140:K142)</f>
        <v>#DIV/0!</v>
      </c>
      <c r="O18" s="5" t="e">
        <f>STDEV(K140:K142)</f>
        <v>#DIV/0!</v>
      </c>
      <c r="Q18" s="3">
        <v>60</v>
      </c>
      <c r="R18" s="7">
        <f>AVERAGE(J127:J129)</f>
        <v>0.97800705229932139</v>
      </c>
      <c r="S18" s="7">
        <f>STDEV(J127:J129)</f>
        <v>3.4515923402136668E-4</v>
      </c>
    </row>
    <row r="19" spans="1:19" ht="15.6" x14ac:dyDescent="0.3">
      <c r="A19" t="s">
        <v>11</v>
      </c>
      <c r="B19">
        <v>15</v>
      </c>
      <c r="C19">
        <v>14</v>
      </c>
      <c r="D19">
        <v>9716985.08203125</v>
      </c>
      <c r="E19">
        <v>0</v>
      </c>
      <c r="F19">
        <v>237.93</v>
      </c>
      <c r="G19" t="s">
        <v>7</v>
      </c>
      <c r="H19">
        <v>0.5</v>
      </c>
      <c r="I19">
        <f>E19/(E19+D19)</f>
        <v>0</v>
      </c>
      <c r="J19" s="6">
        <f t="shared" ref="J19:J21" si="4">E19/(D19+E19)</f>
        <v>0</v>
      </c>
      <c r="K19" s="2">
        <f>(J19*$N$3)/$N$2</f>
        <v>0</v>
      </c>
      <c r="M19" s="3">
        <v>120</v>
      </c>
      <c r="N19" s="5">
        <f>AVERAGE(K154:K156)</f>
        <v>3.4712219604461629</v>
      </c>
      <c r="O19" s="5">
        <f>STDEV(K154:K156)</f>
        <v>2.3607870799835832E-3</v>
      </c>
      <c r="Q19" s="3">
        <v>90</v>
      </c>
      <c r="R19" s="7" t="e">
        <f>AVERAGE(J141:J143)</f>
        <v>#DIV/0!</v>
      </c>
      <c r="S19" s="7" t="e">
        <f>STDEV(J141:J143)</f>
        <v>#DIV/0!</v>
      </c>
    </row>
    <row r="20" spans="1:19" ht="15.6" x14ac:dyDescent="0.3">
      <c r="A20" t="s">
        <v>11</v>
      </c>
      <c r="B20">
        <v>15</v>
      </c>
      <c r="C20">
        <v>16</v>
      </c>
      <c r="D20">
        <v>9576104.34375</v>
      </c>
      <c r="E20">
        <v>0</v>
      </c>
      <c r="F20">
        <v>252.87</v>
      </c>
      <c r="G20" t="s">
        <v>7</v>
      </c>
      <c r="H20">
        <v>0.5</v>
      </c>
      <c r="I20">
        <f t="shared" ref="I20:I21" si="5">E20/(E20+D20)</f>
        <v>0</v>
      </c>
      <c r="J20" s="6">
        <f t="shared" si="4"/>
        <v>0</v>
      </c>
      <c r="K20" s="2">
        <f>(J20*$N$3)/$N$2</f>
        <v>0</v>
      </c>
      <c r="Q20" s="3">
        <v>120</v>
      </c>
      <c r="R20" s="7">
        <f>AVERAGE(J155:J157)</f>
        <v>0.9798669092861555</v>
      </c>
      <c r="S20" s="7">
        <f>STDEV(J155:J157)</f>
        <v>7.879491968658843E-4</v>
      </c>
    </row>
    <row r="21" spans="1:19" x14ac:dyDescent="0.3">
      <c r="A21" t="s">
        <v>11</v>
      </c>
      <c r="B21">
        <v>15</v>
      </c>
      <c r="C21">
        <v>18</v>
      </c>
      <c r="D21">
        <v>9546671.1396484394</v>
      </c>
      <c r="E21">
        <v>202776.46875</v>
      </c>
      <c r="F21">
        <v>267.86</v>
      </c>
      <c r="G21" t="s">
        <v>7</v>
      </c>
      <c r="H21">
        <v>0.5</v>
      </c>
      <c r="I21">
        <f t="shared" si="5"/>
        <v>2.0798764903903155E-2</v>
      </c>
      <c r="J21" s="6">
        <f t="shared" si="4"/>
        <v>2.0798764903903155E-2</v>
      </c>
      <c r="K21" s="2">
        <f>(J21*$N$3)/$N$2</f>
        <v>7.3696411076822191E-2</v>
      </c>
    </row>
    <row r="22" spans="1:19" x14ac:dyDescent="0.3">
      <c r="A22" t="s">
        <v>11</v>
      </c>
      <c r="B22">
        <v>2001</v>
      </c>
      <c r="C22">
        <v>2</v>
      </c>
      <c r="D22">
        <v>0</v>
      </c>
      <c r="E22">
        <v>0</v>
      </c>
      <c r="F22">
        <v>282.18</v>
      </c>
    </row>
    <row r="23" spans="1:19" x14ac:dyDescent="0.3">
      <c r="A23" t="s">
        <v>11</v>
      </c>
      <c r="B23">
        <v>2001</v>
      </c>
      <c r="C23">
        <v>3</v>
      </c>
      <c r="D23">
        <v>0</v>
      </c>
      <c r="E23">
        <v>0</v>
      </c>
      <c r="F23">
        <v>296.39</v>
      </c>
    </row>
    <row r="24" spans="1:19" x14ac:dyDescent="0.3">
      <c r="A24" t="s">
        <v>11</v>
      </c>
      <c r="B24">
        <v>15</v>
      </c>
      <c r="C24">
        <v>20</v>
      </c>
      <c r="D24">
        <v>178212.787109375</v>
      </c>
      <c r="E24">
        <v>5818264.3974609403</v>
      </c>
      <c r="F24">
        <v>311.27999999999997</v>
      </c>
      <c r="G24" t="s">
        <v>6</v>
      </c>
      <c r="H24">
        <v>0.5</v>
      </c>
      <c r="I24">
        <f t="shared" ref="I24:J26" si="6">D24/(C24+D24)</f>
        <v>0.99988778720052374</v>
      </c>
      <c r="J24" s="6">
        <f t="shared" si="6"/>
        <v>0.97028041938224352</v>
      </c>
      <c r="K24" s="2">
        <f>(J24*$N$3)/$N$2</f>
        <v>3.4380014860000752</v>
      </c>
    </row>
    <row r="25" spans="1:19" x14ac:dyDescent="0.3">
      <c r="A25" t="s">
        <v>11</v>
      </c>
      <c r="B25">
        <v>15</v>
      </c>
      <c r="C25">
        <v>22</v>
      </c>
      <c r="D25">
        <v>164072.29003906299</v>
      </c>
      <c r="E25">
        <v>5590767.7792968797</v>
      </c>
      <c r="F25">
        <v>326.20999999999998</v>
      </c>
      <c r="G25" t="s">
        <v>6</v>
      </c>
      <c r="H25">
        <v>0.5</v>
      </c>
      <c r="I25">
        <f t="shared" si="6"/>
        <v>0.9998659307402179</v>
      </c>
      <c r="J25" s="6">
        <f t="shared" si="6"/>
        <v>0.97148968727848661</v>
      </c>
      <c r="K25" s="2">
        <f>(J25*$N$3)/$N$2</f>
        <v>3.4422862935064482</v>
      </c>
    </row>
    <row r="26" spans="1:19" x14ac:dyDescent="0.3">
      <c r="A26" t="s">
        <v>11</v>
      </c>
      <c r="B26">
        <v>15</v>
      </c>
      <c r="C26">
        <v>24</v>
      </c>
      <c r="D26">
        <v>177229.36816406299</v>
      </c>
      <c r="E26">
        <v>5920120.4082031297</v>
      </c>
      <c r="F26">
        <v>341.19</v>
      </c>
      <c r="G26" t="s">
        <v>6</v>
      </c>
      <c r="H26">
        <v>0.5</v>
      </c>
      <c r="I26">
        <f t="shared" si="6"/>
        <v>0.99986460059829285</v>
      </c>
      <c r="J26" s="6">
        <f t="shared" si="6"/>
        <v>0.97093337684989156</v>
      </c>
      <c r="K26" s="2">
        <f>(J26*$N$3)/$N$2</f>
        <v>3.4403151148224498</v>
      </c>
    </row>
    <row r="27" spans="1:19" x14ac:dyDescent="0.3">
      <c r="A27" t="s">
        <v>11</v>
      </c>
      <c r="B27">
        <v>2001</v>
      </c>
      <c r="C27">
        <v>2</v>
      </c>
      <c r="D27">
        <v>0</v>
      </c>
      <c r="E27">
        <v>0</v>
      </c>
      <c r="F27">
        <v>355.49</v>
      </c>
    </row>
    <row r="28" spans="1:19" x14ac:dyDescent="0.3">
      <c r="A28" t="s">
        <v>11</v>
      </c>
      <c r="B28">
        <v>2001</v>
      </c>
      <c r="C28">
        <v>3</v>
      </c>
      <c r="D28">
        <v>0</v>
      </c>
      <c r="E28">
        <v>0</v>
      </c>
      <c r="F28">
        <v>369.66</v>
      </c>
    </row>
    <row r="29" spans="1:19" x14ac:dyDescent="0.3">
      <c r="A29" t="s">
        <v>11</v>
      </c>
      <c r="B29">
        <v>2001</v>
      </c>
      <c r="C29">
        <v>2</v>
      </c>
      <c r="D29">
        <v>0</v>
      </c>
      <c r="E29">
        <v>0</v>
      </c>
      <c r="F29">
        <v>384.16</v>
      </c>
    </row>
    <row r="30" spans="1:19" x14ac:dyDescent="0.3">
      <c r="A30" t="s">
        <v>11</v>
      </c>
      <c r="B30">
        <v>2001</v>
      </c>
      <c r="C30">
        <v>3</v>
      </c>
      <c r="D30">
        <v>0</v>
      </c>
      <c r="E30">
        <v>0</v>
      </c>
      <c r="F30">
        <v>398.32</v>
      </c>
    </row>
    <row r="31" spans="1:19" x14ac:dyDescent="0.3">
      <c r="A31" t="s">
        <v>11</v>
      </c>
      <c r="B31">
        <v>14</v>
      </c>
      <c r="C31">
        <v>14</v>
      </c>
      <c r="D31">
        <v>9550754.32177734</v>
      </c>
      <c r="E31">
        <v>0</v>
      </c>
      <c r="F31">
        <v>413.26</v>
      </c>
      <c r="G31" t="s">
        <v>7</v>
      </c>
      <c r="H31">
        <v>1</v>
      </c>
      <c r="I31">
        <f t="shared" ref="I31:J33" si="7">D31/(C31+D31)</f>
        <v>0.99999853414934503</v>
      </c>
      <c r="J31" s="6">
        <f t="shared" si="7"/>
        <v>0</v>
      </c>
      <c r="K31" s="2">
        <f>(J31*$N$3)/$N$2</f>
        <v>0</v>
      </c>
    </row>
    <row r="32" spans="1:19" x14ac:dyDescent="0.3">
      <c r="A32" t="s">
        <v>11</v>
      </c>
      <c r="B32">
        <v>14</v>
      </c>
      <c r="C32">
        <v>16</v>
      </c>
      <c r="D32">
        <v>9800238.3691406306</v>
      </c>
      <c r="E32">
        <v>0</v>
      </c>
      <c r="F32">
        <v>428.08</v>
      </c>
      <c r="G32" t="s">
        <v>7</v>
      </c>
      <c r="H32">
        <v>1</v>
      </c>
      <c r="I32">
        <f t="shared" si="7"/>
        <v>0.99999836738931491</v>
      </c>
      <c r="J32" s="6">
        <f t="shared" si="7"/>
        <v>0</v>
      </c>
      <c r="K32" s="2">
        <f>(J32*$N$3)/$N$2</f>
        <v>0</v>
      </c>
    </row>
    <row r="33" spans="1:11" x14ac:dyDescent="0.3">
      <c r="A33" t="s">
        <v>11</v>
      </c>
      <c r="B33">
        <v>14</v>
      </c>
      <c r="C33">
        <v>18</v>
      </c>
      <c r="D33">
        <v>9611223.89453125</v>
      </c>
      <c r="E33">
        <v>206822.38378906299</v>
      </c>
      <c r="F33">
        <v>443.04</v>
      </c>
      <c r="G33" t="s">
        <v>7</v>
      </c>
      <c r="H33">
        <v>1</v>
      </c>
      <c r="I33">
        <f t="shared" si="7"/>
        <v>0.99999812719311432</v>
      </c>
      <c r="J33" s="6">
        <f t="shared" si="7"/>
        <v>2.1065533602724729E-2</v>
      </c>
      <c r="K33" s="2">
        <f>(J33*$N$3)/$N$2</f>
        <v>7.4641654497843518E-2</v>
      </c>
    </row>
    <row r="34" spans="1:11" x14ac:dyDescent="0.3">
      <c r="A34" t="s">
        <v>11</v>
      </c>
      <c r="B34">
        <v>2001</v>
      </c>
      <c r="C34">
        <v>2</v>
      </c>
      <c r="D34">
        <v>0</v>
      </c>
      <c r="E34">
        <v>0</v>
      </c>
      <c r="F34">
        <v>457.38</v>
      </c>
    </row>
    <row r="35" spans="1:11" x14ac:dyDescent="0.3">
      <c r="A35" t="s">
        <v>11</v>
      </c>
      <c r="B35">
        <v>2001</v>
      </c>
      <c r="C35">
        <v>3</v>
      </c>
      <c r="D35">
        <v>0</v>
      </c>
      <c r="E35">
        <v>0</v>
      </c>
      <c r="F35">
        <v>471.56</v>
      </c>
    </row>
    <row r="36" spans="1:11" x14ac:dyDescent="0.3">
      <c r="A36" t="s">
        <v>11</v>
      </c>
      <c r="B36">
        <v>14</v>
      </c>
      <c r="C36">
        <v>20</v>
      </c>
      <c r="D36">
        <v>176490.60009765599</v>
      </c>
      <c r="E36">
        <v>5918166.88671875</v>
      </c>
      <c r="F36">
        <v>486.54</v>
      </c>
      <c r="G36" t="s">
        <v>6</v>
      </c>
      <c r="H36">
        <v>1</v>
      </c>
      <c r="I36">
        <f t="shared" ref="I36:J38" si="8">D36/(C36+D36)</f>
        <v>0.99988669235734884</v>
      </c>
      <c r="J36" s="6">
        <f t="shared" si="8"/>
        <v>0.97104175247264835</v>
      </c>
      <c r="K36" s="2">
        <f>(J36*$N$3)/$N$2</f>
        <v>3.4406991229345802</v>
      </c>
    </row>
    <row r="37" spans="1:11" x14ac:dyDescent="0.3">
      <c r="A37" t="s">
        <v>11</v>
      </c>
      <c r="B37">
        <v>14</v>
      </c>
      <c r="C37">
        <v>22</v>
      </c>
      <c r="D37">
        <v>176606.2109375</v>
      </c>
      <c r="E37">
        <v>5688684.94140625</v>
      </c>
      <c r="F37">
        <v>501.38</v>
      </c>
      <c r="G37" t="s">
        <v>6</v>
      </c>
      <c r="H37">
        <v>1</v>
      </c>
      <c r="I37">
        <f t="shared" si="8"/>
        <v>0.99987544458564559</v>
      </c>
      <c r="J37" s="6">
        <f t="shared" si="8"/>
        <v>0.96988960882752961</v>
      </c>
      <c r="K37" s="2">
        <f>(J37*$N$3)/$N$2</f>
        <v>3.4366167241920333</v>
      </c>
    </row>
    <row r="38" spans="1:11" x14ac:dyDescent="0.3">
      <c r="A38" t="s">
        <v>11</v>
      </c>
      <c r="B38">
        <v>14</v>
      </c>
      <c r="C38">
        <v>24</v>
      </c>
      <c r="D38">
        <v>173223.296875</v>
      </c>
      <c r="E38">
        <v>5725925.6298828097</v>
      </c>
      <c r="F38">
        <v>516.29999999999995</v>
      </c>
      <c r="G38" t="s">
        <v>6</v>
      </c>
      <c r="H38">
        <v>1</v>
      </c>
      <c r="I38">
        <f t="shared" si="8"/>
        <v>0.9998614697000594</v>
      </c>
      <c r="J38" s="6">
        <f t="shared" si="8"/>
        <v>0.97063588340865903</v>
      </c>
      <c r="K38" s="2">
        <f>(J38*$N$3)/$N$2</f>
        <v>3.4392610042039093</v>
      </c>
    </row>
    <row r="39" spans="1:11" x14ac:dyDescent="0.3">
      <c r="A39" t="s">
        <v>11</v>
      </c>
      <c r="B39">
        <v>2001</v>
      </c>
      <c r="C39">
        <v>2</v>
      </c>
      <c r="D39">
        <v>0</v>
      </c>
      <c r="E39">
        <v>0</v>
      </c>
      <c r="F39">
        <v>530.73</v>
      </c>
    </row>
    <row r="40" spans="1:11" x14ac:dyDescent="0.3">
      <c r="A40" t="s">
        <v>11</v>
      </c>
      <c r="B40">
        <v>2001</v>
      </c>
      <c r="C40">
        <v>3</v>
      </c>
      <c r="D40">
        <v>0</v>
      </c>
      <c r="E40">
        <v>0</v>
      </c>
      <c r="F40">
        <v>544.94000000000005</v>
      </c>
    </row>
    <row r="41" spans="1:11" x14ac:dyDescent="0.3">
      <c r="A41" t="s">
        <v>11</v>
      </c>
      <c r="B41">
        <v>2001</v>
      </c>
      <c r="C41">
        <v>2</v>
      </c>
      <c r="D41">
        <v>0</v>
      </c>
      <c r="E41">
        <v>0</v>
      </c>
      <c r="F41">
        <v>559.38</v>
      </c>
    </row>
    <row r="42" spans="1:11" x14ac:dyDescent="0.3">
      <c r="A42" t="s">
        <v>11</v>
      </c>
      <c r="B42">
        <v>2001</v>
      </c>
      <c r="C42">
        <v>3</v>
      </c>
      <c r="D42">
        <v>0</v>
      </c>
      <c r="E42">
        <v>0</v>
      </c>
      <c r="F42">
        <v>573.57000000000005</v>
      </c>
    </row>
    <row r="43" spans="1:11" x14ac:dyDescent="0.3">
      <c r="A43" t="s">
        <v>11</v>
      </c>
      <c r="B43">
        <v>13</v>
      </c>
      <c r="C43">
        <v>14</v>
      </c>
      <c r="D43">
        <v>10031297.3369141</v>
      </c>
      <c r="E43">
        <v>0</v>
      </c>
      <c r="F43">
        <v>588.53</v>
      </c>
      <c r="G43" t="s">
        <v>7</v>
      </c>
      <c r="H43">
        <v>1.5</v>
      </c>
      <c r="I43">
        <f t="shared" ref="I43:J45" si="9">D43/(C43+D43)</f>
        <v>0.9999986043699044</v>
      </c>
      <c r="J43" s="6">
        <f t="shared" si="9"/>
        <v>0</v>
      </c>
      <c r="K43" s="2">
        <f>(J43*$N$3)/$N$2</f>
        <v>0</v>
      </c>
    </row>
    <row r="44" spans="1:11" x14ac:dyDescent="0.3">
      <c r="A44" t="s">
        <v>11</v>
      </c>
      <c r="B44">
        <v>13</v>
      </c>
      <c r="C44">
        <v>16</v>
      </c>
      <c r="D44">
        <v>9639869.75634766</v>
      </c>
      <c r="E44">
        <v>0</v>
      </c>
      <c r="F44">
        <v>603.39</v>
      </c>
      <c r="G44" t="s">
        <v>7</v>
      </c>
      <c r="H44">
        <v>1.5</v>
      </c>
      <c r="I44">
        <f t="shared" si="9"/>
        <v>0.99999834022929268</v>
      </c>
      <c r="J44" s="6">
        <f t="shared" si="9"/>
        <v>0</v>
      </c>
      <c r="K44" s="2">
        <f>(J44*$N$3)/$N$2</f>
        <v>0</v>
      </c>
    </row>
    <row r="45" spans="1:11" x14ac:dyDescent="0.3">
      <c r="A45" t="s">
        <v>11</v>
      </c>
      <c r="B45">
        <v>13</v>
      </c>
      <c r="C45">
        <v>18</v>
      </c>
      <c r="D45">
        <v>9362135.6015625</v>
      </c>
      <c r="E45">
        <v>214504.59667968799</v>
      </c>
      <c r="F45">
        <v>618.37</v>
      </c>
      <c r="G45" t="s">
        <v>7</v>
      </c>
      <c r="H45">
        <v>1.5</v>
      </c>
      <c r="I45">
        <f t="shared" si="9"/>
        <v>0.99999807736544755</v>
      </c>
      <c r="J45" s="6">
        <f t="shared" si="9"/>
        <v>2.2398731939314246E-2</v>
      </c>
      <c r="K45" s="2">
        <f>(J45*$N$3)/$N$2</f>
        <v>7.9365585611743381E-2</v>
      </c>
    </row>
    <row r="46" spans="1:11" x14ac:dyDescent="0.3">
      <c r="A46" t="s">
        <v>11</v>
      </c>
      <c r="B46">
        <v>2001</v>
      </c>
      <c r="C46">
        <v>2</v>
      </c>
      <c r="D46">
        <v>0</v>
      </c>
      <c r="E46">
        <v>0</v>
      </c>
      <c r="F46">
        <v>632.72</v>
      </c>
    </row>
    <row r="47" spans="1:11" x14ac:dyDescent="0.3">
      <c r="A47" t="s">
        <v>11</v>
      </c>
      <c r="B47">
        <v>2001</v>
      </c>
      <c r="C47">
        <v>3</v>
      </c>
      <c r="D47">
        <v>0</v>
      </c>
      <c r="E47">
        <v>0</v>
      </c>
      <c r="F47">
        <v>646.92999999999995</v>
      </c>
    </row>
    <row r="48" spans="1:11" x14ac:dyDescent="0.3">
      <c r="A48" t="s">
        <v>11</v>
      </c>
      <c r="B48">
        <v>13</v>
      </c>
      <c r="C48">
        <v>20</v>
      </c>
      <c r="D48">
        <v>170142.05322265599</v>
      </c>
      <c r="E48">
        <v>5826443.5502929697</v>
      </c>
      <c r="F48">
        <v>661.9</v>
      </c>
      <c r="G48" t="s">
        <v>6</v>
      </c>
      <c r="H48">
        <v>1.5</v>
      </c>
      <c r="I48">
        <f t="shared" ref="I48:J50" si="10">D48/(C48+D48)</f>
        <v>0.99988246498193212</v>
      </c>
      <c r="J48" s="6">
        <f t="shared" si="10"/>
        <v>0.97162684492940332</v>
      </c>
      <c r="K48" s="2">
        <f>(J48*$N$3)/$N$2</f>
        <v>3.4427722851829246</v>
      </c>
    </row>
    <row r="49" spans="1:11" x14ac:dyDescent="0.3">
      <c r="A49" t="s">
        <v>11</v>
      </c>
      <c r="B49">
        <v>13</v>
      </c>
      <c r="C49">
        <v>22</v>
      </c>
      <c r="D49">
        <v>171838.037109375</v>
      </c>
      <c r="E49">
        <v>5861714.3222656297</v>
      </c>
      <c r="F49">
        <v>676.69</v>
      </c>
      <c r="G49" t="s">
        <v>6</v>
      </c>
      <c r="H49">
        <v>1.5</v>
      </c>
      <c r="I49">
        <f t="shared" si="10"/>
        <v>0.99987198885575712</v>
      </c>
      <c r="J49" s="6">
        <f t="shared" si="10"/>
        <v>0.97151959129974719</v>
      </c>
      <c r="K49" s="2">
        <f>(J49*$N$3)/$N$2</f>
        <v>3.4423922526368993</v>
      </c>
    </row>
    <row r="50" spans="1:11" x14ac:dyDescent="0.3">
      <c r="A50" t="s">
        <v>11</v>
      </c>
      <c r="B50">
        <v>13</v>
      </c>
      <c r="C50">
        <v>24</v>
      </c>
      <c r="D50">
        <v>183287.48046875</v>
      </c>
      <c r="E50">
        <v>5836771.12353516</v>
      </c>
      <c r="F50">
        <v>691.54</v>
      </c>
      <c r="G50" t="s">
        <v>6</v>
      </c>
      <c r="H50">
        <v>1.5</v>
      </c>
      <c r="I50">
        <f t="shared" si="10"/>
        <v>0.99986907530320179</v>
      </c>
      <c r="J50" s="6">
        <f t="shared" si="10"/>
        <v>0.9695538710625099</v>
      </c>
      <c r="K50" s="2">
        <f>(J50*$N$3)/$N$2</f>
        <v>3.4354271021899954</v>
      </c>
    </row>
    <row r="51" spans="1:11" x14ac:dyDescent="0.3">
      <c r="A51" t="s">
        <v>11</v>
      </c>
      <c r="B51">
        <v>2001</v>
      </c>
      <c r="C51">
        <v>2</v>
      </c>
      <c r="D51">
        <v>0</v>
      </c>
      <c r="E51">
        <v>0</v>
      </c>
      <c r="F51">
        <v>706</v>
      </c>
    </row>
    <row r="52" spans="1:11" x14ac:dyDescent="0.3">
      <c r="A52" t="s">
        <v>11</v>
      </c>
      <c r="B52">
        <v>2001</v>
      </c>
      <c r="C52">
        <v>3</v>
      </c>
      <c r="D52">
        <v>0</v>
      </c>
      <c r="E52">
        <v>0</v>
      </c>
      <c r="F52">
        <v>720.19</v>
      </c>
    </row>
    <row r="53" spans="1:11" x14ac:dyDescent="0.3">
      <c r="A53" t="s">
        <v>11</v>
      </c>
      <c r="B53">
        <v>2001</v>
      </c>
      <c r="C53">
        <v>2</v>
      </c>
      <c r="D53">
        <v>0</v>
      </c>
      <c r="E53">
        <v>0</v>
      </c>
      <c r="F53">
        <v>734.58</v>
      </c>
    </row>
    <row r="54" spans="1:11" x14ac:dyDescent="0.3">
      <c r="A54" t="s">
        <v>11</v>
      </c>
      <c r="B54">
        <v>2001</v>
      </c>
      <c r="C54">
        <v>3</v>
      </c>
      <c r="D54">
        <v>0</v>
      </c>
      <c r="E54">
        <v>0</v>
      </c>
      <c r="F54">
        <v>748.8</v>
      </c>
    </row>
    <row r="55" spans="1:11" x14ac:dyDescent="0.3">
      <c r="A55" t="s">
        <v>11</v>
      </c>
      <c r="B55">
        <v>12</v>
      </c>
      <c r="C55">
        <v>14</v>
      </c>
      <c r="D55">
        <v>9976310.2988281306</v>
      </c>
      <c r="E55">
        <v>0</v>
      </c>
      <c r="F55">
        <v>763.69</v>
      </c>
      <c r="G55" t="s">
        <v>7</v>
      </c>
      <c r="H55">
        <v>3</v>
      </c>
      <c r="I55">
        <f t="shared" ref="I55:J57" si="11">D55/(C55+D55)</f>
        <v>0.99999859667753566</v>
      </c>
      <c r="J55" s="6">
        <f t="shared" si="11"/>
        <v>0</v>
      </c>
      <c r="K55" s="2">
        <f>(J55*$N$3)/$N$2</f>
        <v>0</v>
      </c>
    </row>
    <row r="56" spans="1:11" x14ac:dyDescent="0.3">
      <c r="A56" t="s">
        <v>11</v>
      </c>
      <c r="B56">
        <v>12</v>
      </c>
      <c r="C56">
        <v>16</v>
      </c>
      <c r="D56">
        <v>9605653.76953125</v>
      </c>
      <c r="E56">
        <v>0</v>
      </c>
      <c r="F56">
        <v>778.66</v>
      </c>
      <c r="G56" t="s">
        <v>7</v>
      </c>
      <c r="H56">
        <v>3</v>
      </c>
      <c r="I56">
        <f t="shared" si="11"/>
        <v>0.99999833431708729</v>
      </c>
      <c r="J56" s="6">
        <f t="shared" si="11"/>
        <v>0</v>
      </c>
      <c r="K56" s="2">
        <f>(J56*$N$3)/$N$2</f>
        <v>0</v>
      </c>
    </row>
    <row r="57" spans="1:11" x14ac:dyDescent="0.3">
      <c r="A57" t="s">
        <v>11</v>
      </c>
      <c r="B57">
        <v>12</v>
      </c>
      <c r="C57">
        <v>18</v>
      </c>
      <c r="D57">
        <v>9314871.8046875</v>
      </c>
      <c r="E57">
        <v>206958.873046875</v>
      </c>
      <c r="F57">
        <v>793.51</v>
      </c>
      <c r="G57" t="s">
        <v>7</v>
      </c>
      <c r="H57">
        <v>3</v>
      </c>
      <c r="I57">
        <f t="shared" si="11"/>
        <v>0.99999806760999033</v>
      </c>
      <c r="J57" s="6">
        <f t="shared" si="11"/>
        <v>2.1735197784058771E-2</v>
      </c>
      <c r="K57" s="2">
        <f>(J57*$N$3)/$N$2</f>
        <v>7.7014480337216099E-2</v>
      </c>
    </row>
    <row r="58" spans="1:11" x14ac:dyDescent="0.3">
      <c r="A58" t="s">
        <v>11</v>
      </c>
      <c r="B58">
        <v>2001</v>
      </c>
      <c r="C58">
        <v>2</v>
      </c>
      <c r="D58">
        <v>0</v>
      </c>
      <c r="E58">
        <v>0</v>
      </c>
      <c r="F58">
        <v>807.97</v>
      </c>
    </row>
    <row r="59" spans="1:11" x14ac:dyDescent="0.3">
      <c r="A59" t="s">
        <v>11</v>
      </c>
      <c r="B59">
        <v>2001</v>
      </c>
      <c r="C59">
        <v>3</v>
      </c>
      <c r="D59">
        <v>0</v>
      </c>
      <c r="E59">
        <v>0</v>
      </c>
      <c r="F59">
        <v>822.18</v>
      </c>
    </row>
    <row r="60" spans="1:11" x14ac:dyDescent="0.3">
      <c r="A60" t="s">
        <v>11</v>
      </c>
      <c r="B60">
        <v>12</v>
      </c>
      <c r="C60">
        <v>20</v>
      </c>
      <c r="D60">
        <v>168223.767578125</v>
      </c>
      <c r="E60">
        <v>5821524.9277343797</v>
      </c>
      <c r="F60">
        <v>837</v>
      </c>
      <c r="G60" t="s">
        <v>6</v>
      </c>
      <c r="H60">
        <v>3</v>
      </c>
      <c r="I60">
        <f t="shared" ref="I60:J62" si="12">D60/(C60+D60)</f>
        <v>0.9998811248684697</v>
      </c>
      <c r="J60" s="6">
        <f t="shared" si="12"/>
        <v>0.97191472027703352</v>
      </c>
      <c r="K60" s="2">
        <f>(J60*$N$3)/$N$2</f>
        <v>3.4437923159422441</v>
      </c>
    </row>
    <row r="61" spans="1:11" x14ac:dyDescent="0.3">
      <c r="A61" t="s">
        <v>11</v>
      </c>
      <c r="B61">
        <v>12</v>
      </c>
      <c r="C61">
        <v>22</v>
      </c>
      <c r="D61">
        <v>167742.9609375</v>
      </c>
      <c r="E61">
        <v>5666882.1484375</v>
      </c>
      <c r="F61">
        <v>851.97</v>
      </c>
      <c r="G61" t="s">
        <v>6</v>
      </c>
      <c r="H61">
        <v>3</v>
      </c>
      <c r="I61">
        <f t="shared" si="12"/>
        <v>0.99986886415448695</v>
      </c>
      <c r="J61" s="6">
        <f t="shared" si="12"/>
        <v>0.97125043035447589</v>
      </c>
      <c r="K61" s="2">
        <f>(J61*$N$3)/$N$2</f>
        <v>3.4414385327520796</v>
      </c>
    </row>
    <row r="62" spans="1:11" x14ac:dyDescent="0.3">
      <c r="A62" t="s">
        <v>11</v>
      </c>
      <c r="B62">
        <v>12</v>
      </c>
      <c r="C62">
        <v>24</v>
      </c>
      <c r="D62">
        <v>174038.1796875</v>
      </c>
      <c r="E62">
        <v>5930999.05859375</v>
      </c>
      <c r="F62">
        <v>866.82</v>
      </c>
      <c r="G62" t="s">
        <v>6</v>
      </c>
      <c r="H62">
        <v>3</v>
      </c>
      <c r="I62">
        <f t="shared" si="12"/>
        <v>0.99986211823818882</v>
      </c>
      <c r="J62" s="6">
        <f t="shared" si="12"/>
        <v>0.97149269154392626</v>
      </c>
      <c r="K62" s="2">
        <f>(J62*$N$3)/$N$2</f>
        <v>3.4422969385414706</v>
      </c>
    </row>
    <row r="63" spans="1:11" x14ac:dyDescent="0.3">
      <c r="A63" t="s">
        <v>11</v>
      </c>
      <c r="B63">
        <v>2001</v>
      </c>
      <c r="C63">
        <v>2</v>
      </c>
      <c r="D63">
        <v>0</v>
      </c>
      <c r="E63">
        <v>0</v>
      </c>
      <c r="F63">
        <v>881.28</v>
      </c>
    </row>
    <row r="64" spans="1:11" x14ac:dyDescent="0.3">
      <c r="A64" t="s">
        <v>11</v>
      </c>
      <c r="B64">
        <v>2001</v>
      </c>
      <c r="C64">
        <v>3</v>
      </c>
      <c r="D64">
        <v>0</v>
      </c>
      <c r="E64">
        <v>0</v>
      </c>
      <c r="F64">
        <v>895.46</v>
      </c>
    </row>
    <row r="65" spans="1:11" x14ac:dyDescent="0.3">
      <c r="A65" t="s">
        <v>11</v>
      </c>
      <c r="B65">
        <v>2001</v>
      </c>
      <c r="C65">
        <v>2</v>
      </c>
      <c r="D65">
        <v>0</v>
      </c>
      <c r="E65">
        <v>0</v>
      </c>
      <c r="F65">
        <v>909.93</v>
      </c>
    </row>
    <row r="66" spans="1:11" x14ac:dyDescent="0.3">
      <c r="A66" t="s">
        <v>11</v>
      </c>
      <c r="B66">
        <v>2001</v>
      </c>
      <c r="C66">
        <v>3</v>
      </c>
      <c r="D66">
        <v>0</v>
      </c>
      <c r="E66">
        <v>0</v>
      </c>
      <c r="F66">
        <v>923.97</v>
      </c>
    </row>
    <row r="67" spans="1:11" x14ac:dyDescent="0.3">
      <c r="A67" t="s">
        <v>11</v>
      </c>
      <c r="B67">
        <v>11</v>
      </c>
      <c r="C67">
        <v>14</v>
      </c>
      <c r="D67">
        <v>0</v>
      </c>
      <c r="E67">
        <v>0</v>
      </c>
      <c r="F67">
        <v>938.98</v>
      </c>
      <c r="G67" t="s">
        <v>7</v>
      </c>
      <c r="H67">
        <v>5</v>
      </c>
      <c r="I67">
        <f t="shared" ref="I67:J69" si="13">D67/(C67+D67)</f>
        <v>0</v>
      </c>
      <c r="J67" s="6" t="e">
        <f t="shared" si="13"/>
        <v>#DIV/0!</v>
      </c>
      <c r="K67" s="2" t="e">
        <f>(J67*$N$3)/$N$2</f>
        <v>#DIV/0!</v>
      </c>
    </row>
    <row r="68" spans="1:11" x14ac:dyDescent="0.3">
      <c r="A68" t="s">
        <v>11</v>
      </c>
      <c r="B68">
        <v>11</v>
      </c>
      <c r="C68">
        <v>16</v>
      </c>
      <c r="D68">
        <v>0</v>
      </c>
      <c r="E68">
        <v>0</v>
      </c>
      <c r="F68">
        <v>953.85</v>
      </c>
      <c r="G68" t="s">
        <v>7</v>
      </c>
      <c r="H68">
        <v>5</v>
      </c>
      <c r="I68">
        <f t="shared" si="13"/>
        <v>0</v>
      </c>
      <c r="J68" s="6" t="e">
        <f t="shared" si="13"/>
        <v>#DIV/0!</v>
      </c>
      <c r="K68" s="2" t="e">
        <f>(J68*$N$3)/$N$2</f>
        <v>#DIV/0!</v>
      </c>
    </row>
    <row r="69" spans="1:11" x14ac:dyDescent="0.3">
      <c r="A69" t="s">
        <v>11</v>
      </c>
      <c r="B69">
        <v>11</v>
      </c>
      <c r="C69">
        <v>18</v>
      </c>
      <c r="D69">
        <v>0</v>
      </c>
      <c r="E69">
        <v>0</v>
      </c>
      <c r="F69">
        <v>968.5</v>
      </c>
      <c r="G69" t="s">
        <v>7</v>
      </c>
      <c r="H69">
        <v>5</v>
      </c>
      <c r="I69">
        <f t="shared" si="13"/>
        <v>0</v>
      </c>
      <c r="J69" s="6" t="e">
        <f t="shared" si="13"/>
        <v>#DIV/0!</v>
      </c>
      <c r="K69" s="2" t="e">
        <f>(J69*$N$3)/$N$2</f>
        <v>#DIV/0!</v>
      </c>
    </row>
    <row r="70" spans="1:11" x14ac:dyDescent="0.3">
      <c r="A70" t="s">
        <v>11</v>
      </c>
      <c r="B70">
        <v>2001</v>
      </c>
      <c r="C70">
        <v>2</v>
      </c>
      <c r="D70">
        <v>0</v>
      </c>
      <c r="E70">
        <v>0</v>
      </c>
      <c r="F70">
        <v>982.97</v>
      </c>
    </row>
    <row r="71" spans="1:11" x14ac:dyDescent="0.3">
      <c r="A71" t="s">
        <v>11</v>
      </c>
      <c r="B71">
        <v>2001</v>
      </c>
      <c r="C71">
        <v>3</v>
      </c>
      <c r="D71">
        <v>0</v>
      </c>
      <c r="E71">
        <v>0</v>
      </c>
      <c r="F71">
        <v>997.11</v>
      </c>
    </row>
    <row r="72" spans="1:11" x14ac:dyDescent="0.3">
      <c r="A72" t="s">
        <v>11</v>
      </c>
      <c r="B72">
        <v>11</v>
      </c>
      <c r="C72">
        <v>20</v>
      </c>
      <c r="D72">
        <v>0</v>
      </c>
      <c r="E72">
        <v>0</v>
      </c>
      <c r="F72">
        <v>1012.11</v>
      </c>
      <c r="G72" t="s">
        <v>6</v>
      </c>
      <c r="H72">
        <v>5</v>
      </c>
      <c r="I72">
        <f t="shared" ref="I72:I74" si="14">(D72/C72+D72)</f>
        <v>0</v>
      </c>
      <c r="J72" s="6" t="e">
        <f t="shared" ref="J72:J74" si="15">E72/(D72+E72)</f>
        <v>#DIV/0!</v>
      </c>
      <c r="K72" s="2" t="e">
        <f>(J72*$N$3)/$N$2</f>
        <v>#DIV/0!</v>
      </c>
    </row>
    <row r="73" spans="1:11" x14ac:dyDescent="0.3">
      <c r="A73" t="s">
        <v>11</v>
      </c>
      <c r="B73">
        <v>11</v>
      </c>
      <c r="C73">
        <v>22</v>
      </c>
      <c r="D73">
        <v>0</v>
      </c>
      <c r="E73">
        <v>0</v>
      </c>
      <c r="F73">
        <v>1026.95</v>
      </c>
      <c r="G73" t="s">
        <v>6</v>
      </c>
      <c r="H73">
        <v>5</v>
      </c>
      <c r="I73">
        <f t="shared" si="14"/>
        <v>0</v>
      </c>
      <c r="J73" s="6" t="e">
        <f t="shared" si="15"/>
        <v>#DIV/0!</v>
      </c>
      <c r="K73" s="2" t="e">
        <f>(J73*$N$3)/$N$2</f>
        <v>#DIV/0!</v>
      </c>
    </row>
    <row r="74" spans="1:11" x14ac:dyDescent="0.3">
      <c r="A74" t="s">
        <v>11</v>
      </c>
      <c r="B74">
        <v>11</v>
      </c>
      <c r="C74">
        <v>24</v>
      </c>
      <c r="D74">
        <v>0</v>
      </c>
      <c r="E74">
        <v>0</v>
      </c>
      <c r="F74">
        <v>1041.81</v>
      </c>
      <c r="G74" t="s">
        <v>6</v>
      </c>
      <c r="H74">
        <v>5</v>
      </c>
      <c r="I74">
        <f t="shared" si="14"/>
        <v>0</v>
      </c>
      <c r="J74" s="6" t="e">
        <f t="shared" si="15"/>
        <v>#DIV/0!</v>
      </c>
      <c r="K74" s="2" t="e">
        <f>(J74*$N$3)/$N$2</f>
        <v>#DIV/0!</v>
      </c>
    </row>
    <row r="75" spans="1:11" x14ac:dyDescent="0.3">
      <c r="A75" t="s">
        <v>11</v>
      </c>
      <c r="B75">
        <v>2001</v>
      </c>
      <c r="C75">
        <v>2</v>
      </c>
      <c r="D75">
        <v>0</v>
      </c>
      <c r="E75">
        <v>0</v>
      </c>
      <c r="F75">
        <v>1056.26</v>
      </c>
    </row>
    <row r="76" spans="1:11" x14ac:dyDescent="0.3">
      <c r="A76" t="s">
        <v>11</v>
      </c>
      <c r="B76">
        <v>2001</v>
      </c>
      <c r="C76">
        <v>3</v>
      </c>
      <c r="D76">
        <v>0</v>
      </c>
      <c r="E76">
        <v>0</v>
      </c>
      <c r="F76">
        <v>1070.55</v>
      </c>
    </row>
    <row r="77" spans="1:11" x14ac:dyDescent="0.3">
      <c r="A77" t="s">
        <v>11</v>
      </c>
      <c r="B77">
        <v>2001</v>
      </c>
      <c r="C77">
        <v>2</v>
      </c>
      <c r="D77">
        <v>0</v>
      </c>
      <c r="E77">
        <v>0</v>
      </c>
      <c r="F77">
        <v>1084.8599999999999</v>
      </c>
    </row>
    <row r="78" spans="1:11" x14ac:dyDescent="0.3">
      <c r="A78" t="s">
        <v>11</v>
      </c>
      <c r="B78">
        <v>2001</v>
      </c>
      <c r="C78">
        <v>3</v>
      </c>
      <c r="D78">
        <v>0</v>
      </c>
      <c r="E78">
        <v>0</v>
      </c>
      <c r="F78">
        <v>1099.1300000000001</v>
      </c>
    </row>
    <row r="79" spans="1:11" x14ac:dyDescent="0.3">
      <c r="A79" t="s">
        <v>11</v>
      </c>
      <c r="B79">
        <v>10</v>
      </c>
      <c r="C79">
        <v>14</v>
      </c>
      <c r="D79">
        <v>12916504.625</v>
      </c>
      <c r="E79">
        <v>12290.640136718799</v>
      </c>
      <c r="F79">
        <v>1113.8399999999999</v>
      </c>
      <c r="G79" t="s">
        <v>7</v>
      </c>
      <c r="H79">
        <v>10</v>
      </c>
      <c r="I79">
        <f t="shared" ref="I79:J81" si="16">D79/(C79+D79)</f>
        <v>0.99999891611660952</v>
      </c>
      <c r="J79" s="6">
        <f t="shared" si="16"/>
        <v>9.5064078939058273E-4</v>
      </c>
      <c r="K79" s="2">
        <f>(J79*$N$3)/$N$2</f>
        <v>3.3684122458721433E-3</v>
      </c>
    </row>
    <row r="80" spans="1:11" x14ac:dyDescent="0.3">
      <c r="A80" t="s">
        <v>11</v>
      </c>
      <c r="B80">
        <v>10</v>
      </c>
      <c r="C80">
        <v>16</v>
      </c>
      <c r="D80">
        <v>12464131.603027301</v>
      </c>
      <c r="E80">
        <v>42823.521484375</v>
      </c>
      <c r="F80">
        <v>1128.52</v>
      </c>
      <c r="G80" t="s">
        <v>7</v>
      </c>
      <c r="H80">
        <v>10</v>
      </c>
      <c r="I80">
        <f t="shared" si="16"/>
        <v>0.99999871631815429</v>
      </c>
      <c r="J80" s="6">
        <f t="shared" si="16"/>
        <v>3.4239765840726171E-3</v>
      </c>
      <c r="K80" s="2">
        <f>(J80*$N$3)/$N$2</f>
        <v>1.2132200494745492E-2</v>
      </c>
    </row>
    <row r="81" spans="1:11" x14ac:dyDescent="0.3">
      <c r="A81" t="s">
        <v>11</v>
      </c>
      <c r="B81">
        <v>10</v>
      </c>
      <c r="C81">
        <v>18</v>
      </c>
      <c r="D81">
        <v>12059710.8828125</v>
      </c>
      <c r="E81">
        <v>372481.666015625</v>
      </c>
      <c r="F81">
        <v>1143.23</v>
      </c>
      <c r="G81" t="s">
        <v>7</v>
      </c>
      <c r="H81">
        <v>10</v>
      </c>
      <c r="I81">
        <f t="shared" si="16"/>
        <v>0.99999850742913254</v>
      </c>
      <c r="J81" s="6">
        <f t="shared" si="16"/>
        <v>2.99610599299104E-2</v>
      </c>
      <c r="K81" s="2">
        <f>(J81*$N$3)/$N$2</f>
        <v>0.10616123597212344</v>
      </c>
    </row>
    <row r="82" spans="1:11" x14ac:dyDescent="0.3">
      <c r="A82" t="s">
        <v>11</v>
      </c>
      <c r="B82">
        <v>2001</v>
      </c>
      <c r="C82">
        <v>2</v>
      </c>
      <c r="D82">
        <v>0</v>
      </c>
      <c r="E82">
        <v>0</v>
      </c>
      <c r="F82">
        <v>1157.67</v>
      </c>
    </row>
    <row r="83" spans="1:11" x14ac:dyDescent="0.3">
      <c r="A83" t="s">
        <v>11</v>
      </c>
      <c r="B83">
        <v>2001</v>
      </c>
      <c r="C83">
        <v>3</v>
      </c>
      <c r="D83">
        <v>0</v>
      </c>
      <c r="E83">
        <v>0</v>
      </c>
      <c r="F83">
        <v>1171.8599999999999</v>
      </c>
    </row>
    <row r="84" spans="1:11" x14ac:dyDescent="0.3">
      <c r="A84" t="s">
        <v>11</v>
      </c>
      <c r="B84">
        <v>10</v>
      </c>
      <c r="C84">
        <v>20</v>
      </c>
      <c r="D84">
        <v>259162.02490234401</v>
      </c>
      <c r="E84">
        <v>8327222.29150391</v>
      </c>
      <c r="F84">
        <v>1186.56</v>
      </c>
      <c r="G84" t="s">
        <v>6</v>
      </c>
      <c r="H84">
        <v>10</v>
      </c>
      <c r="I84">
        <f t="shared" ref="I84:J86" si="17">D84/(C84+D84)</f>
        <v>0.99992283415484717</v>
      </c>
      <c r="J84" s="6">
        <f t="shared" si="17"/>
        <v>0.96981709467544386</v>
      </c>
      <c r="K84" s="2">
        <f>(J84*$N$3)/$N$2</f>
        <v>3.4363597842830682</v>
      </c>
    </row>
    <row r="85" spans="1:11" x14ac:dyDescent="0.3">
      <c r="A85" t="s">
        <v>11</v>
      </c>
      <c r="B85">
        <v>10</v>
      </c>
      <c r="C85">
        <v>22</v>
      </c>
      <c r="D85">
        <v>244927.498046875</v>
      </c>
      <c r="E85">
        <v>7755086.79296875</v>
      </c>
      <c r="F85">
        <v>1201.28</v>
      </c>
      <c r="G85" t="s">
        <v>6</v>
      </c>
      <c r="H85">
        <v>10</v>
      </c>
      <c r="I85">
        <f t="shared" si="17"/>
        <v>0.99991018556814604</v>
      </c>
      <c r="J85" s="6">
        <f t="shared" si="17"/>
        <v>0.96938411743564767</v>
      </c>
      <c r="K85" s="2">
        <f>(J85*$N$3)/$N$2</f>
        <v>3.4348256129609562</v>
      </c>
    </row>
    <row r="86" spans="1:11" x14ac:dyDescent="0.3">
      <c r="A86" t="s">
        <v>11</v>
      </c>
      <c r="B86">
        <v>10</v>
      </c>
      <c r="C86">
        <v>24</v>
      </c>
      <c r="D86">
        <v>265436.046875</v>
      </c>
      <c r="E86">
        <v>8158907.6113281297</v>
      </c>
      <c r="F86">
        <v>1215.98</v>
      </c>
      <c r="G86" t="s">
        <v>6</v>
      </c>
      <c r="H86">
        <v>10</v>
      </c>
      <c r="I86">
        <f t="shared" si="17"/>
        <v>0.9999095909147816</v>
      </c>
      <c r="J86" s="6">
        <f t="shared" si="17"/>
        <v>0.9684917831412857</v>
      </c>
      <c r="K86" s="2">
        <f>(J86*$N$3)/$N$2</f>
        <v>3.4316637985321141</v>
      </c>
    </row>
    <row r="87" spans="1:11" x14ac:dyDescent="0.3">
      <c r="A87" t="s">
        <v>11</v>
      </c>
      <c r="B87">
        <v>2001</v>
      </c>
      <c r="C87">
        <v>2</v>
      </c>
      <c r="D87">
        <v>0</v>
      </c>
      <c r="E87">
        <v>0</v>
      </c>
      <c r="F87">
        <v>1230.28</v>
      </c>
    </row>
    <row r="88" spans="1:11" x14ac:dyDescent="0.3">
      <c r="A88" t="s">
        <v>11</v>
      </c>
      <c r="B88">
        <v>2001</v>
      </c>
      <c r="C88">
        <v>3</v>
      </c>
      <c r="D88">
        <v>0</v>
      </c>
      <c r="E88">
        <v>0</v>
      </c>
      <c r="F88">
        <v>1244.5899999999999</v>
      </c>
    </row>
    <row r="89" spans="1:11" x14ac:dyDescent="0.3">
      <c r="A89" t="s">
        <v>11</v>
      </c>
      <c r="B89">
        <v>2001</v>
      </c>
      <c r="C89">
        <v>2</v>
      </c>
      <c r="D89">
        <v>0</v>
      </c>
      <c r="E89">
        <v>0</v>
      </c>
      <c r="F89">
        <v>1258.8800000000001</v>
      </c>
    </row>
    <row r="90" spans="1:11" x14ac:dyDescent="0.3">
      <c r="A90" t="s">
        <v>11</v>
      </c>
      <c r="B90">
        <v>2001</v>
      </c>
      <c r="C90">
        <v>3</v>
      </c>
      <c r="D90">
        <v>0</v>
      </c>
      <c r="E90">
        <v>0</v>
      </c>
      <c r="F90">
        <v>1273.07</v>
      </c>
    </row>
    <row r="91" spans="1:11" x14ac:dyDescent="0.3">
      <c r="A91" t="s">
        <v>11</v>
      </c>
      <c r="B91">
        <v>9</v>
      </c>
      <c r="C91">
        <v>14</v>
      </c>
      <c r="D91">
        <v>9815413.5673828106</v>
      </c>
      <c r="E91">
        <v>0</v>
      </c>
      <c r="F91">
        <v>1287.78</v>
      </c>
      <c r="G91" t="s">
        <v>7</v>
      </c>
      <c r="H91">
        <v>20</v>
      </c>
      <c r="I91">
        <f t="shared" ref="I91:J93" si="18">D91/(C91+D91)</f>
        <v>0.99999857367395317</v>
      </c>
      <c r="J91" s="6">
        <f t="shared" si="18"/>
        <v>0</v>
      </c>
      <c r="K91" s="2">
        <f>(J91*$N$3)/$N$2</f>
        <v>0</v>
      </c>
    </row>
    <row r="92" spans="1:11" x14ac:dyDescent="0.3">
      <c r="A92" t="s">
        <v>11</v>
      </c>
      <c r="B92">
        <v>9</v>
      </c>
      <c r="C92">
        <v>16</v>
      </c>
      <c r="D92">
        <v>9392409.20849609</v>
      </c>
      <c r="E92">
        <v>29486.023925781301</v>
      </c>
      <c r="F92">
        <v>1302.52</v>
      </c>
      <c r="G92" t="s">
        <v>7</v>
      </c>
      <c r="H92">
        <v>20</v>
      </c>
      <c r="I92">
        <f t="shared" si="18"/>
        <v>0.99999829649961058</v>
      </c>
      <c r="J92" s="6">
        <f t="shared" si="18"/>
        <v>3.1295215238985419E-3</v>
      </c>
      <c r="K92" s="2">
        <f>(J92*$N$3)/$N$2</f>
        <v>1.1088855793341288E-2</v>
      </c>
    </row>
    <row r="93" spans="1:11" x14ac:dyDescent="0.3">
      <c r="A93" t="s">
        <v>11</v>
      </c>
      <c r="B93">
        <v>9</v>
      </c>
      <c r="C93">
        <v>18</v>
      </c>
      <c r="D93">
        <v>9153132.2910156306</v>
      </c>
      <c r="E93">
        <v>331031.88671875</v>
      </c>
      <c r="F93">
        <v>1317.22</v>
      </c>
      <c r="G93" t="s">
        <v>7</v>
      </c>
      <c r="H93">
        <v>20</v>
      </c>
      <c r="I93">
        <f t="shared" si="18"/>
        <v>0.999998033463952</v>
      </c>
      <c r="J93" s="6">
        <f t="shared" si="18"/>
        <v>3.4903643643780569E-2</v>
      </c>
      <c r="K93" s="2">
        <f>(J93*$N$3)/$N$2</f>
        <v>0.12367432787166342</v>
      </c>
    </row>
    <row r="94" spans="1:11" x14ac:dyDescent="0.3">
      <c r="A94" t="s">
        <v>11</v>
      </c>
      <c r="B94">
        <v>2001</v>
      </c>
      <c r="C94">
        <v>2</v>
      </c>
      <c r="D94">
        <v>0</v>
      </c>
      <c r="E94">
        <v>0</v>
      </c>
      <c r="F94">
        <v>1331.7</v>
      </c>
    </row>
    <row r="95" spans="1:11" x14ac:dyDescent="0.3">
      <c r="A95" t="s">
        <v>11</v>
      </c>
      <c r="B95">
        <v>2001</v>
      </c>
      <c r="C95">
        <v>3</v>
      </c>
      <c r="D95">
        <v>0</v>
      </c>
      <c r="E95">
        <v>0</v>
      </c>
      <c r="F95">
        <v>1345.86</v>
      </c>
    </row>
    <row r="96" spans="1:11" x14ac:dyDescent="0.3">
      <c r="A96" t="s">
        <v>11</v>
      </c>
      <c r="B96">
        <v>9</v>
      </c>
      <c r="C96">
        <v>20</v>
      </c>
      <c r="D96">
        <v>161113.74462890599</v>
      </c>
      <c r="E96">
        <v>6138181.3056640597</v>
      </c>
      <c r="F96">
        <v>1360.59</v>
      </c>
      <c r="G96" t="s">
        <v>6</v>
      </c>
      <c r="H96">
        <v>20</v>
      </c>
      <c r="I96">
        <f t="shared" ref="I96:J98" si="19">D96/(C96+D96)</f>
        <v>0.99987587950589707</v>
      </c>
      <c r="J96" s="6">
        <f t="shared" si="19"/>
        <v>0.9744235278165907</v>
      </c>
      <c r="K96" s="2">
        <f>(J96*$N$3)/$N$2</f>
        <v>3.4526817914761088</v>
      </c>
    </row>
    <row r="97" spans="1:11" x14ac:dyDescent="0.3">
      <c r="A97" t="s">
        <v>11</v>
      </c>
      <c r="B97">
        <v>9</v>
      </c>
      <c r="C97">
        <v>22</v>
      </c>
      <c r="D97">
        <v>155093.921875</v>
      </c>
      <c r="E97">
        <v>5887345.02978516</v>
      </c>
      <c r="F97">
        <v>1375.3</v>
      </c>
      <c r="G97" t="s">
        <v>6</v>
      </c>
      <c r="H97">
        <v>20</v>
      </c>
      <c r="I97">
        <f t="shared" si="19"/>
        <v>0.99985817058794435</v>
      </c>
      <c r="J97" s="6">
        <f t="shared" si="19"/>
        <v>0.97433256287473324</v>
      </c>
      <c r="K97" s="2">
        <f>(J97*$N$3)/$N$2</f>
        <v>3.4523594747529911</v>
      </c>
    </row>
    <row r="98" spans="1:11" x14ac:dyDescent="0.3">
      <c r="A98" t="s">
        <v>11</v>
      </c>
      <c r="B98">
        <v>9</v>
      </c>
      <c r="C98">
        <v>24</v>
      </c>
      <c r="D98">
        <v>177917.814453125</v>
      </c>
      <c r="E98">
        <v>6146051.3173828097</v>
      </c>
      <c r="F98">
        <v>1390</v>
      </c>
      <c r="G98" t="s">
        <v>6</v>
      </c>
      <c r="H98">
        <v>20</v>
      </c>
      <c r="I98">
        <f t="shared" si="19"/>
        <v>0.99986512445051912</v>
      </c>
      <c r="J98" s="6">
        <f t="shared" si="19"/>
        <v>0.97186611592433991</v>
      </c>
      <c r="K98" s="2">
        <f>(J98*$N$3)/$N$2</f>
        <v>3.4436200957949046</v>
      </c>
    </row>
    <row r="99" spans="1:11" x14ac:dyDescent="0.3">
      <c r="A99" t="s">
        <v>11</v>
      </c>
      <c r="B99">
        <v>2001</v>
      </c>
      <c r="C99">
        <v>2</v>
      </c>
      <c r="D99">
        <v>0</v>
      </c>
      <c r="E99">
        <v>0</v>
      </c>
      <c r="F99">
        <v>1404.3</v>
      </c>
    </row>
    <row r="100" spans="1:11" x14ac:dyDescent="0.3">
      <c r="A100" t="s">
        <v>11</v>
      </c>
      <c r="B100">
        <v>2001</v>
      </c>
      <c r="C100">
        <v>3</v>
      </c>
      <c r="D100">
        <v>0</v>
      </c>
      <c r="E100">
        <v>0</v>
      </c>
      <c r="F100">
        <v>1418.51</v>
      </c>
    </row>
    <row r="101" spans="1:11" x14ac:dyDescent="0.3">
      <c r="A101" t="s">
        <v>11</v>
      </c>
      <c r="B101">
        <v>2001</v>
      </c>
      <c r="C101">
        <v>2</v>
      </c>
      <c r="D101">
        <v>0</v>
      </c>
      <c r="E101">
        <v>0</v>
      </c>
      <c r="F101">
        <v>1432.98</v>
      </c>
    </row>
    <row r="102" spans="1:11" x14ac:dyDescent="0.3">
      <c r="A102" t="s">
        <v>11</v>
      </c>
      <c r="B102">
        <v>2001</v>
      </c>
      <c r="C102">
        <v>3</v>
      </c>
      <c r="D102">
        <v>0</v>
      </c>
      <c r="E102">
        <v>0</v>
      </c>
      <c r="F102">
        <v>1447.18</v>
      </c>
    </row>
    <row r="103" spans="1:11" x14ac:dyDescent="0.3">
      <c r="A103" t="s">
        <v>11</v>
      </c>
      <c r="B103">
        <v>2001</v>
      </c>
      <c r="C103">
        <v>2</v>
      </c>
      <c r="D103">
        <v>0</v>
      </c>
      <c r="E103">
        <v>0</v>
      </c>
      <c r="F103">
        <v>1461.5</v>
      </c>
    </row>
    <row r="104" spans="1:11" x14ac:dyDescent="0.3">
      <c r="A104" t="s">
        <v>11</v>
      </c>
      <c r="B104">
        <v>2001</v>
      </c>
      <c r="C104">
        <v>3</v>
      </c>
      <c r="D104">
        <v>0</v>
      </c>
      <c r="E104">
        <v>0</v>
      </c>
      <c r="F104">
        <v>1475.72</v>
      </c>
    </row>
    <row r="105" spans="1:11" x14ac:dyDescent="0.3">
      <c r="A105" t="s">
        <v>11</v>
      </c>
      <c r="B105">
        <v>8</v>
      </c>
      <c r="C105">
        <v>14</v>
      </c>
      <c r="D105">
        <v>9473051.5830078106</v>
      </c>
      <c r="E105">
        <v>31471.811035156301</v>
      </c>
      <c r="F105">
        <v>1490.42</v>
      </c>
      <c r="G105" t="s">
        <v>7</v>
      </c>
      <c r="H105">
        <v>40</v>
      </c>
      <c r="I105">
        <f t="shared" ref="I105:J107" si="20">D105/(C105+D105)</f>
        <v>0.99999852212571771</v>
      </c>
      <c r="J105" s="6">
        <f t="shared" si="20"/>
        <v>3.3112455754363761E-3</v>
      </c>
      <c r="K105" s="2">
        <f>(J105*$N$3)/$N$2</f>
        <v>1.1732759912963535E-2</v>
      </c>
    </row>
    <row r="106" spans="1:11" x14ac:dyDescent="0.3">
      <c r="A106" t="s">
        <v>11</v>
      </c>
      <c r="B106">
        <v>8</v>
      </c>
      <c r="C106">
        <v>16</v>
      </c>
      <c r="D106">
        <v>7451192.1865234403</v>
      </c>
      <c r="E106">
        <v>33964.534667968801</v>
      </c>
      <c r="F106">
        <v>1505.12</v>
      </c>
      <c r="G106" t="s">
        <v>7</v>
      </c>
      <c r="H106">
        <v>40</v>
      </c>
      <c r="I106">
        <f t="shared" si="20"/>
        <v>0.99999785269722719</v>
      </c>
      <c r="J106" s="6">
        <f t="shared" si="20"/>
        <v>4.5375849742478984E-3</v>
      </c>
      <c r="K106" s="2">
        <f>(J106*$N$3)/$N$2</f>
        <v>1.6078056995366567E-2</v>
      </c>
    </row>
    <row r="107" spans="1:11" x14ac:dyDescent="0.3">
      <c r="A107" t="s">
        <v>11</v>
      </c>
      <c r="B107">
        <v>8</v>
      </c>
      <c r="C107">
        <v>18</v>
      </c>
      <c r="D107">
        <v>8164459.67822266</v>
      </c>
      <c r="E107">
        <v>458674.70019531302</v>
      </c>
      <c r="F107">
        <v>1519.82</v>
      </c>
      <c r="G107" t="s">
        <v>7</v>
      </c>
      <c r="H107">
        <v>40</v>
      </c>
      <c r="I107">
        <f t="shared" si="20"/>
        <v>0.99999779532742827</v>
      </c>
      <c r="J107" s="6">
        <f t="shared" si="20"/>
        <v>5.3191180847568208E-2</v>
      </c>
      <c r="K107" s="2">
        <f>(J107*$N$3)/$N$2</f>
        <v>0.18847268804256448</v>
      </c>
    </row>
    <row r="108" spans="1:11" x14ac:dyDescent="0.3">
      <c r="A108" t="s">
        <v>11</v>
      </c>
      <c r="B108">
        <v>2001</v>
      </c>
      <c r="C108">
        <v>2</v>
      </c>
      <c r="D108">
        <v>0</v>
      </c>
      <c r="E108">
        <v>0</v>
      </c>
      <c r="F108">
        <v>1534.28</v>
      </c>
    </row>
    <row r="109" spans="1:11" x14ac:dyDescent="0.3">
      <c r="A109" t="s">
        <v>11</v>
      </c>
      <c r="B109">
        <v>2001</v>
      </c>
      <c r="C109">
        <v>3</v>
      </c>
      <c r="D109">
        <v>0</v>
      </c>
      <c r="E109">
        <v>0</v>
      </c>
      <c r="F109">
        <v>1548.45</v>
      </c>
    </row>
    <row r="110" spans="1:11" x14ac:dyDescent="0.3">
      <c r="A110" t="s">
        <v>11</v>
      </c>
      <c r="B110">
        <v>2001</v>
      </c>
      <c r="C110">
        <v>2</v>
      </c>
      <c r="D110">
        <v>0</v>
      </c>
      <c r="E110">
        <v>0</v>
      </c>
      <c r="F110">
        <v>1562.89</v>
      </c>
    </row>
    <row r="111" spans="1:11" x14ac:dyDescent="0.3">
      <c r="A111" t="s">
        <v>11</v>
      </c>
      <c r="B111">
        <v>2001</v>
      </c>
      <c r="C111">
        <v>3</v>
      </c>
      <c r="D111">
        <v>0</v>
      </c>
      <c r="E111">
        <v>0</v>
      </c>
      <c r="F111">
        <v>1577.06</v>
      </c>
    </row>
    <row r="112" spans="1:11" x14ac:dyDescent="0.3">
      <c r="A112" t="s">
        <v>11</v>
      </c>
      <c r="B112">
        <v>8</v>
      </c>
      <c r="C112">
        <v>20</v>
      </c>
      <c r="D112">
        <v>155505.62841796901</v>
      </c>
      <c r="E112">
        <v>6410640.1816406297</v>
      </c>
      <c r="F112">
        <v>1591.77</v>
      </c>
      <c r="G112" t="s">
        <v>6</v>
      </c>
      <c r="H112">
        <v>40</v>
      </c>
      <c r="I112">
        <f t="shared" ref="I112:J114" si="21">D112/(C112+D112)</f>
        <v>0.99987140383097339</v>
      </c>
      <c r="J112" s="6">
        <f t="shared" si="21"/>
        <v>0.97631706134521845</v>
      </c>
      <c r="K112" s="2">
        <f>(J112*$N$3)/$N$2</f>
        <v>3.4593911622468365</v>
      </c>
    </row>
    <row r="113" spans="1:11" x14ac:dyDescent="0.3">
      <c r="A113" t="s">
        <v>11</v>
      </c>
      <c r="B113">
        <v>8</v>
      </c>
      <c r="C113">
        <v>22</v>
      </c>
      <c r="D113">
        <v>146316.59375</v>
      </c>
      <c r="E113">
        <v>6053097.6972656297</v>
      </c>
      <c r="F113">
        <v>1606.5</v>
      </c>
      <c r="G113" t="s">
        <v>6</v>
      </c>
      <c r="H113">
        <v>40</v>
      </c>
      <c r="I113">
        <f t="shared" si="21"/>
        <v>0.99984966371866613</v>
      </c>
      <c r="J113" s="6">
        <f t="shared" si="21"/>
        <v>0.97639831976352243</v>
      </c>
      <c r="K113" s="2">
        <f>(J113*$N$3)/$N$2</f>
        <v>3.4596790857762603</v>
      </c>
    </row>
    <row r="114" spans="1:11" x14ac:dyDescent="0.3">
      <c r="A114" t="s">
        <v>11</v>
      </c>
      <c r="B114">
        <v>8</v>
      </c>
      <c r="C114">
        <v>24</v>
      </c>
      <c r="D114">
        <v>149538.96484375</v>
      </c>
      <c r="E114">
        <v>6190314.90234375</v>
      </c>
      <c r="F114">
        <v>1621.18</v>
      </c>
      <c r="G114" t="s">
        <v>6</v>
      </c>
      <c r="H114">
        <v>40</v>
      </c>
      <c r="I114">
        <f t="shared" si="21"/>
        <v>0.99983953246697754</v>
      </c>
      <c r="J114" s="6">
        <f t="shared" si="21"/>
        <v>0.97641286881741818</v>
      </c>
      <c r="K114" s="2">
        <f>(J114*$N$3)/$N$2</f>
        <v>3.4597306375420325</v>
      </c>
    </row>
    <row r="115" spans="1:11" x14ac:dyDescent="0.3">
      <c r="A115" t="s">
        <v>11</v>
      </c>
      <c r="B115">
        <v>2001</v>
      </c>
      <c r="C115">
        <v>2</v>
      </c>
      <c r="D115">
        <v>0</v>
      </c>
      <c r="E115">
        <v>0</v>
      </c>
      <c r="F115">
        <v>1635.64</v>
      </c>
    </row>
    <row r="116" spans="1:11" x14ac:dyDescent="0.3">
      <c r="A116" t="s">
        <v>11</v>
      </c>
      <c r="B116">
        <v>2001</v>
      </c>
      <c r="C116">
        <v>3</v>
      </c>
      <c r="D116">
        <v>0</v>
      </c>
      <c r="E116">
        <v>0</v>
      </c>
      <c r="F116">
        <v>1649.33</v>
      </c>
    </row>
    <row r="117" spans="1:11" x14ac:dyDescent="0.3">
      <c r="A117" t="s">
        <v>11</v>
      </c>
      <c r="B117">
        <v>2001</v>
      </c>
      <c r="C117">
        <v>2</v>
      </c>
      <c r="D117">
        <v>0</v>
      </c>
      <c r="E117">
        <v>0</v>
      </c>
      <c r="F117">
        <v>1663.73</v>
      </c>
    </row>
    <row r="118" spans="1:11" x14ac:dyDescent="0.3">
      <c r="A118" t="s">
        <v>11</v>
      </c>
      <c r="B118">
        <v>2001</v>
      </c>
      <c r="C118">
        <v>3</v>
      </c>
      <c r="D118">
        <v>0</v>
      </c>
      <c r="E118">
        <v>0</v>
      </c>
      <c r="F118">
        <v>1677.92</v>
      </c>
    </row>
    <row r="119" spans="1:11" x14ac:dyDescent="0.3">
      <c r="A119" t="s">
        <v>11</v>
      </c>
      <c r="B119">
        <v>7</v>
      </c>
      <c r="C119">
        <v>14</v>
      </c>
      <c r="D119">
        <v>8821591.2138671894</v>
      </c>
      <c r="E119">
        <v>47375.494628906301</v>
      </c>
      <c r="F119">
        <v>1692.64</v>
      </c>
      <c r="G119" t="s">
        <v>7</v>
      </c>
      <c r="H119">
        <v>60</v>
      </c>
      <c r="I119">
        <f t="shared" ref="I119:J121" si="22">D119/(C119+D119)</f>
        <v>0.99999841298724435</v>
      </c>
      <c r="J119" s="6">
        <f t="shared" si="22"/>
        <v>5.3417152398962751E-3</v>
      </c>
      <c r="K119" s="2">
        <f>(J119*$N$3)/$N$2</f>
        <v>1.8927337464199397E-2</v>
      </c>
    </row>
    <row r="120" spans="1:11" x14ac:dyDescent="0.3">
      <c r="A120" t="s">
        <v>11</v>
      </c>
      <c r="B120">
        <v>7</v>
      </c>
      <c r="C120">
        <v>16</v>
      </c>
      <c r="D120">
        <v>8594019.5019531306</v>
      </c>
      <c r="E120">
        <v>70134.0810546875</v>
      </c>
      <c r="F120">
        <v>1707.34</v>
      </c>
      <c r="G120" t="s">
        <v>7</v>
      </c>
      <c r="H120">
        <v>60</v>
      </c>
      <c r="I120">
        <f t="shared" si="22"/>
        <v>0.99999813824366957</v>
      </c>
      <c r="J120" s="6">
        <f t="shared" si="22"/>
        <v>8.094741209601226E-3</v>
      </c>
      <c r="K120" s="2">
        <f>(J120*$N$3)/$N$2</f>
        <v>2.8682153892287805E-2</v>
      </c>
    </row>
    <row r="121" spans="1:11" x14ac:dyDescent="0.3">
      <c r="A121" t="s">
        <v>11</v>
      </c>
      <c r="B121">
        <v>7</v>
      </c>
      <c r="C121">
        <v>18</v>
      </c>
      <c r="D121">
        <v>7998570.1845703097</v>
      </c>
      <c r="E121">
        <v>570898.35644531297</v>
      </c>
      <c r="F121">
        <v>1722.03</v>
      </c>
      <c r="G121" t="s">
        <v>7</v>
      </c>
      <c r="H121">
        <v>60</v>
      </c>
      <c r="I121">
        <f t="shared" si="22"/>
        <v>0.99999774960285681</v>
      </c>
      <c r="J121" s="6">
        <f t="shared" si="22"/>
        <v>6.662004227133228E-2</v>
      </c>
      <c r="K121" s="2">
        <f>(J121*$N$3)/$N$2</f>
        <v>0.23605526789054743</v>
      </c>
    </row>
    <row r="122" spans="1:11" x14ac:dyDescent="0.3">
      <c r="A122" t="s">
        <v>11</v>
      </c>
      <c r="B122">
        <v>2001</v>
      </c>
      <c r="C122">
        <v>2</v>
      </c>
      <c r="D122">
        <v>0</v>
      </c>
      <c r="E122">
        <v>0</v>
      </c>
      <c r="F122">
        <v>1736.44</v>
      </c>
    </row>
    <row r="123" spans="1:11" x14ac:dyDescent="0.3">
      <c r="A123" t="s">
        <v>11</v>
      </c>
      <c r="B123">
        <v>2001</v>
      </c>
      <c r="C123">
        <v>3</v>
      </c>
      <c r="D123">
        <v>0</v>
      </c>
      <c r="E123">
        <v>0</v>
      </c>
      <c r="F123">
        <v>1750.62</v>
      </c>
    </row>
    <row r="124" spans="1:11" x14ac:dyDescent="0.3">
      <c r="A124" t="s">
        <v>11</v>
      </c>
      <c r="B124">
        <v>2001</v>
      </c>
      <c r="C124">
        <v>2</v>
      </c>
      <c r="D124">
        <v>0</v>
      </c>
      <c r="E124">
        <v>0</v>
      </c>
      <c r="F124">
        <v>1765.08</v>
      </c>
    </row>
    <row r="125" spans="1:11" x14ac:dyDescent="0.3">
      <c r="A125" t="s">
        <v>11</v>
      </c>
      <c r="B125">
        <v>2001</v>
      </c>
      <c r="C125">
        <v>3</v>
      </c>
      <c r="D125">
        <v>0</v>
      </c>
      <c r="E125">
        <v>0</v>
      </c>
      <c r="F125">
        <v>1779.29</v>
      </c>
    </row>
    <row r="126" spans="1:11" x14ac:dyDescent="0.3">
      <c r="A126" t="s">
        <v>11</v>
      </c>
      <c r="B126">
        <v>7</v>
      </c>
      <c r="C126">
        <v>20</v>
      </c>
      <c r="D126">
        <v>135409.92578125</v>
      </c>
      <c r="E126">
        <v>6310437.27734375</v>
      </c>
      <c r="F126">
        <v>1794.01</v>
      </c>
      <c r="G126" t="s">
        <v>6</v>
      </c>
      <c r="H126">
        <v>60</v>
      </c>
      <c r="I126">
        <f t="shared" ref="I126:J128" si="23">D126/(C126+D126)</f>
        <v>0.99985232215195696</v>
      </c>
      <c r="J126" s="6">
        <f t="shared" si="23"/>
        <v>0.97899268761512026</v>
      </c>
      <c r="K126" s="2">
        <f>(J126*$N$3)/$N$2</f>
        <v>3.4688717277701109</v>
      </c>
    </row>
    <row r="127" spans="1:11" x14ac:dyDescent="0.3">
      <c r="A127" t="s">
        <v>11</v>
      </c>
      <c r="B127">
        <v>7</v>
      </c>
      <c r="C127">
        <v>22</v>
      </c>
      <c r="D127">
        <v>139250.44433593799</v>
      </c>
      <c r="E127">
        <v>6122851.8330078097</v>
      </c>
      <c r="F127">
        <v>1808.62</v>
      </c>
      <c r="G127" t="s">
        <v>6</v>
      </c>
      <c r="H127">
        <v>60</v>
      </c>
      <c r="I127">
        <f t="shared" si="23"/>
        <v>0.99984203623261658</v>
      </c>
      <c r="J127" s="6">
        <f t="shared" si="23"/>
        <v>0.97776298786435578</v>
      </c>
      <c r="K127" s="2">
        <f>(J127*$N$3)/$N$2</f>
        <v>3.4645145239288193</v>
      </c>
    </row>
    <row r="128" spans="1:11" x14ac:dyDescent="0.3">
      <c r="A128" t="s">
        <v>11</v>
      </c>
      <c r="B128">
        <v>7</v>
      </c>
      <c r="C128">
        <v>24</v>
      </c>
      <c r="D128">
        <v>136621.48339843799</v>
      </c>
      <c r="E128">
        <v>6145148.56103516</v>
      </c>
      <c r="F128">
        <v>1823.44</v>
      </c>
      <c r="G128" t="s">
        <v>6</v>
      </c>
      <c r="H128">
        <v>60</v>
      </c>
      <c r="I128">
        <f t="shared" si="23"/>
        <v>0.99982436302025424</v>
      </c>
      <c r="J128" s="6">
        <f t="shared" si="23"/>
        <v>0.97825111673428711</v>
      </c>
      <c r="K128" s="2">
        <f>(J128*$N$3)/$N$2</f>
        <v>3.4662441144128278</v>
      </c>
    </row>
    <row r="129" spans="1:11" x14ac:dyDescent="0.3">
      <c r="A129" t="s">
        <v>11</v>
      </c>
      <c r="B129">
        <v>2001</v>
      </c>
      <c r="C129">
        <v>2</v>
      </c>
      <c r="D129">
        <v>0</v>
      </c>
      <c r="E129">
        <v>0</v>
      </c>
      <c r="F129">
        <v>1837.76</v>
      </c>
    </row>
    <row r="130" spans="1:11" x14ac:dyDescent="0.3">
      <c r="A130" t="s">
        <v>11</v>
      </c>
      <c r="B130">
        <v>2001</v>
      </c>
      <c r="C130">
        <v>3</v>
      </c>
      <c r="D130">
        <v>0</v>
      </c>
      <c r="E130">
        <v>0</v>
      </c>
      <c r="F130">
        <v>1851.94</v>
      </c>
    </row>
    <row r="131" spans="1:11" x14ac:dyDescent="0.3">
      <c r="A131" t="s">
        <v>11</v>
      </c>
      <c r="B131">
        <v>2001</v>
      </c>
      <c r="C131">
        <v>2</v>
      </c>
      <c r="D131">
        <v>0</v>
      </c>
      <c r="E131">
        <v>0</v>
      </c>
      <c r="F131">
        <v>1866.4</v>
      </c>
    </row>
    <row r="132" spans="1:11" x14ac:dyDescent="0.3">
      <c r="A132" t="s">
        <v>11</v>
      </c>
      <c r="B132">
        <v>2001</v>
      </c>
      <c r="C132">
        <v>3</v>
      </c>
      <c r="D132">
        <v>0</v>
      </c>
      <c r="E132">
        <v>0</v>
      </c>
      <c r="F132">
        <v>1880.58</v>
      </c>
    </row>
    <row r="133" spans="1:11" x14ac:dyDescent="0.3">
      <c r="A133" t="s">
        <v>11</v>
      </c>
      <c r="B133">
        <v>6</v>
      </c>
      <c r="C133">
        <v>14</v>
      </c>
      <c r="D133">
        <v>0</v>
      </c>
      <c r="E133">
        <v>0</v>
      </c>
      <c r="F133">
        <v>1895.3</v>
      </c>
      <c r="G133" t="s">
        <v>7</v>
      </c>
      <c r="H133">
        <v>90</v>
      </c>
      <c r="I133">
        <f t="shared" ref="I133:J135" si="24">D133/(C133+D133)</f>
        <v>0</v>
      </c>
      <c r="J133" s="6" t="e">
        <f t="shared" si="24"/>
        <v>#DIV/0!</v>
      </c>
      <c r="K133" s="2" t="e">
        <f>(J133*$N$3)/$N$2</f>
        <v>#DIV/0!</v>
      </c>
    </row>
    <row r="134" spans="1:11" x14ac:dyDescent="0.3">
      <c r="A134" t="s">
        <v>11</v>
      </c>
      <c r="B134">
        <v>6</v>
      </c>
      <c r="C134">
        <v>16</v>
      </c>
      <c r="D134">
        <v>0</v>
      </c>
      <c r="E134">
        <v>0</v>
      </c>
      <c r="F134">
        <v>1910.02</v>
      </c>
      <c r="G134" t="s">
        <v>7</v>
      </c>
      <c r="H134">
        <v>90</v>
      </c>
      <c r="I134">
        <f t="shared" si="24"/>
        <v>0</v>
      </c>
      <c r="J134" s="6" t="e">
        <f t="shared" si="24"/>
        <v>#DIV/0!</v>
      </c>
      <c r="K134" s="2" t="e">
        <f>(J134*$N$3)/$N$2</f>
        <v>#DIV/0!</v>
      </c>
    </row>
    <row r="135" spans="1:11" x14ac:dyDescent="0.3">
      <c r="A135" t="s">
        <v>11</v>
      </c>
      <c r="B135">
        <v>6</v>
      </c>
      <c r="C135">
        <v>18</v>
      </c>
      <c r="D135">
        <v>0</v>
      </c>
      <c r="E135">
        <v>0</v>
      </c>
      <c r="F135">
        <v>1924.7</v>
      </c>
      <c r="G135" t="s">
        <v>7</v>
      </c>
      <c r="H135">
        <v>90</v>
      </c>
      <c r="I135">
        <f t="shared" si="24"/>
        <v>0</v>
      </c>
      <c r="J135" s="6" t="e">
        <f t="shared" si="24"/>
        <v>#DIV/0!</v>
      </c>
      <c r="K135" s="2" t="e">
        <f>(J135*$N$3)/$N$2</f>
        <v>#DIV/0!</v>
      </c>
    </row>
    <row r="136" spans="1:11" x14ac:dyDescent="0.3">
      <c r="A136" t="s">
        <v>11</v>
      </c>
      <c r="B136">
        <v>2001</v>
      </c>
      <c r="C136">
        <v>2</v>
      </c>
      <c r="D136">
        <v>0</v>
      </c>
      <c r="E136">
        <v>0</v>
      </c>
      <c r="F136">
        <v>1939.17</v>
      </c>
    </row>
    <row r="137" spans="1:11" x14ac:dyDescent="0.3">
      <c r="A137" t="s">
        <v>11</v>
      </c>
      <c r="B137">
        <v>2001</v>
      </c>
      <c r="C137">
        <v>3</v>
      </c>
      <c r="D137">
        <v>0</v>
      </c>
      <c r="E137">
        <v>0</v>
      </c>
      <c r="F137">
        <v>1953.25</v>
      </c>
    </row>
    <row r="138" spans="1:11" x14ac:dyDescent="0.3">
      <c r="A138" t="s">
        <v>11</v>
      </c>
      <c r="B138">
        <v>2001</v>
      </c>
      <c r="C138">
        <v>2</v>
      </c>
      <c r="D138">
        <v>0</v>
      </c>
      <c r="E138">
        <v>0</v>
      </c>
      <c r="F138">
        <v>1967.7</v>
      </c>
    </row>
    <row r="139" spans="1:11" x14ac:dyDescent="0.3">
      <c r="A139" t="s">
        <v>11</v>
      </c>
      <c r="B139">
        <v>2001</v>
      </c>
      <c r="C139">
        <v>3</v>
      </c>
      <c r="D139">
        <v>0</v>
      </c>
      <c r="E139">
        <v>0</v>
      </c>
      <c r="F139">
        <v>1981.88</v>
      </c>
    </row>
    <row r="140" spans="1:11" x14ac:dyDescent="0.3">
      <c r="A140" t="s">
        <v>11</v>
      </c>
      <c r="B140">
        <v>6</v>
      </c>
      <c r="C140">
        <v>20</v>
      </c>
      <c r="D140">
        <v>0</v>
      </c>
      <c r="E140">
        <v>0</v>
      </c>
      <c r="F140">
        <v>1996.61</v>
      </c>
      <c r="G140" t="s">
        <v>6</v>
      </c>
      <c r="H140">
        <v>90</v>
      </c>
      <c r="I140">
        <f t="shared" ref="I140:J142" si="25">D140/(C140+D140)</f>
        <v>0</v>
      </c>
      <c r="J140" s="6" t="e">
        <f t="shared" si="25"/>
        <v>#DIV/0!</v>
      </c>
      <c r="K140" s="2" t="e">
        <f>(J140*$N$3)/$N$2</f>
        <v>#DIV/0!</v>
      </c>
    </row>
    <row r="141" spans="1:11" x14ac:dyDescent="0.3">
      <c r="A141" t="s">
        <v>11</v>
      </c>
      <c r="B141">
        <v>6</v>
      </c>
      <c r="C141">
        <v>22</v>
      </c>
      <c r="D141">
        <v>0</v>
      </c>
      <c r="E141">
        <v>0</v>
      </c>
      <c r="F141">
        <v>2011.32</v>
      </c>
      <c r="G141" t="s">
        <v>6</v>
      </c>
      <c r="H141">
        <v>90</v>
      </c>
      <c r="I141">
        <f t="shared" si="25"/>
        <v>0</v>
      </c>
      <c r="J141" s="6" t="e">
        <f t="shared" si="25"/>
        <v>#DIV/0!</v>
      </c>
      <c r="K141" s="2" t="e">
        <f>(J141*$N$3)/$N$2</f>
        <v>#DIV/0!</v>
      </c>
    </row>
    <row r="142" spans="1:11" x14ac:dyDescent="0.3">
      <c r="A142" t="s">
        <v>11</v>
      </c>
      <c r="B142">
        <v>6</v>
      </c>
      <c r="C142">
        <v>24</v>
      </c>
      <c r="D142">
        <v>0</v>
      </c>
      <c r="E142">
        <v>0</v>
      </c>
      <c r="F142">
        <v>2026.02</v>
      </c>
      <c r="G142" t="s">
        <v>6</v>
      </c>
      <c r="H142">
        <v>90</v>
      </c>
      <c r="I142">
        <f t="shared" si="25"/>
        <v>0</v>
      </c>
      <c r="J142" s="6" t="e">
        <f t="shared" si="25"/>
        <v>#DIV/0!</v>
      </c>
      <c r="K142" s="2" t="e">
        <f>(J142*$N$3)/$N$2</f>
        <v>#DIV/0!</v>
      </c>
    </row>
    <row r="143" spans="1:11" x14ac:dyDescent="0.3">
      <c r="A143" t="s">
        <v>11</v>
      </c>
      <c r="B143">
        <v>2001</v>
      </c>
      <c r="C143">
        <v>2</v>
      </c>
      <c r="D143">
        <v>0</v>
      </c>
      <c r="E143">
        <v>0</v>
      </c>
      <c r="F143">
        <v>2040.36</v>
      </c>
    </row>
    <row r="144" spans="1:11" x14ac:dyDescent="0.3">
      <c r="A144" t="s">
        <v>11</v>
      </c>
      <c r="B144">
        <v>2001</v>
      </c>
      <c r="C144">
        <v>3</v>
      </c>
      <c r="D144">
        <v>0</v>
      </c>
      <c r="E144">
        <v>0</v>
      </c>
      <c r="F144">
        <v>2054.5500000000002</v>
      </c>
    </row>
    <row r="145" spans="1:11" x14ac:dyDescent="0.3">
      <c r="A145" t="s">
        <v>11</v>
      </c>
      <c r="B145">
        <v>2001</v>
      </c>
      <c r="C145">
        <v>2</v>
      </c>
      <c r="D145">
        <v>0</v>
      </c>
      <c r="E145">
        <v>0</v>
      </c>
      <c r="F145">
        <v>2068.9899999999998</v>
      </c>
    </row>
    <row r="146" spans="1:11" x14ac:dyDescent="0.3">
      <c r="A146" t="s">
        <v>11</v>
      </c>
      <c r="B146">
        <v>2001</v>
      </c>
      <c r="C146">
        <v>3</v>
      </c>
      <c r="D146">
        <v>0</v>
      </c>
      <c r="E146">
        <v>0</v>
      </c>
      <c r="F146">
        <v>2083.15</v>
      </c>
    </row>
    <row r="147" spans="1:11" x14ac:dyDescent="0.3">
      <c r="A147" t="s">
        <v>11</v>
      </c>
      <c r="B147">
        <v>2001</v>
      </c>
      <c r="C147">
        <v>2</v>
      </c>
      <c r="D147">
        <v>0</v>
      </c>
      <c r="E147">
        <v>0</v>
      </c>
      <c r="F147">
        <v>2097.5700000000002</v>
      </c>
    </row>
    <row r="148" spans="1:11" x14ac:dyDescent="0.3">
      <c r="A148" t="s">
        <v>11</v>
      </c>
      <c r="B148">
        <v>2001</v>
      </c>
      <c r="C148">
        <v>3</v>
      </c>
      <c r="D148">
        <v>0</v>
      </c>
      <c r="E148">
        <v>0</v>
      </c>
      <c r="F148">
        <v>2111.77</v>
      </c>
    </row>
    <row r="149" spans="1:11" x14ac:dyDescent="0.3">
      <c r="A149" t="s">
        <v>11</v>
      </c>
      <c r="B149">
        <v>5</v>
      </c>
      <c r="C149">
        <v>14</v>
      </c>
      <c r="D149">
        <v>10814311.267578101</v>
      </c>
      <c r="E149">
        <v>130710.09375</v>
      </c>
      <c r="F149">
        <v>2126.52</v>
      </c>
      <c r="G149" t="s">
        <v>7</v>
      </c>
      <c r="H149">
        <v>120</v>
      </c>
      <c r="I149">
        <f t="shared" ref="I149:J151" si="26">D149/(C149+D149)</f>
        <v>0.99999870542085123</v>
      </c>
      <c r="J149" s="6">
        <f t="shared" si="26"/>
        <v>1.1942424727633355E-2</v>
      </c>
      <c r="K149" s="2">
        <f>(J149*$N$3)/$N$2</f>
        <v>4.2315678168779597E-2</v>
      </c>
    </row>
    <row r="150" spans="1:11" x14ac:dyDescent="0.3">
      <c r="A150" t="s">
        <v>11</v>
      </c>
      <c r="B150">
        <v>5</v>
      </c>
      <c r="C150">
        <v>16</v>
      </c>
      <c r="D150">
        <v>10619934.1870117</v>
      </c>
      <c r="E150">
        <v>181666.025390625</v>
      </c>
      <c r="F150">
        <v>2141.23</v>
      </c>
      <c r="G150" t="s">
        <v>7</v>
      </c>
      <c r="H150">
        <v>120</v>
      </c>
      <c r="I150">
        <f t="shared" si="26"/>
        <v>0.99999849340159619</v>
      </c>
      <c r="J150" s="6">
        <f t="shared" si="26"/>
        <v>1.6818436325947084E-2</v>
      </c>
      <c r="K150" s="2">
        <f>(J150*$N$3)/$N$2</f>
        <v>5.9592884619497528E-2</v>
      </c>
    </row>
    <row r="151" spans="1:11" x14ac:dyDescent="0.3">
      <c r="A151" t="s">
        <v>11</v>
      </c>
      <c r="B151">
        <v>5</v>
      </c>
      <c r="C151">
        <v>18</v>
      </c>
      <c r="D151">
        <v>9474253.7949218806</v>
      </c>
      <c r="E151">
        <v>1074627.14453125</v>
      </c>
      <c r="F151">
        <v>2155.84</v>
      </c>
      <c r="G151" t="s">
        <v>7</v>
      </c>
      <c r="H151">
        <v>120</v>
      </c>
      <c r="I151">
        <f t="shared" si="26"/>
        <v>0.99999810011783596</v>
      </c>
      <c r="J151" s="6">
        <f t="shared" si="26"/>
        <v>0.10187119853747825</v>
      </c>
      <c r="K151" s="2">
        <f>(J151*$N$3)/$N$2</f>
        <v>0.36096093969972604</v>
      </c>
    </row>
    <row r="152" spans="1:11" x14ac:dyDescent="0.3">
      <c r="A152" t="s">
        <v>11</v>
      </c>
      <c r="B152">
        <v>2001</v>
      </c>
      <c r="C152">
        <v>2</v>
      </c>
      <c r="D152">
        <v>0</v>
      </c>
      <c r="E152">
        <v>0</v>
      </c>
      <c r="F152">
        <v>2170.29</v>
      </c>
    </row>
    <row r="153" spans="1:11" x14ac:dyDescent="0.3">
      <c r="A153" t="s">
        <v>11</v>
      </c>
      <c r="B153">
        <v>2001</v>
      </c>
      <c r="C153">
        <v>3</v>
      </c>
      <c r="D153">
        <v>0</v>
      </c>
      <c r="E153">
        <v>0</v>
      </c>
      <c r="F153">
        <v>2184.5100000000002</v>
      </c>
    </row>
    <row r="154" spans="1:11" x14ac:dyDescent="0.3">
      <c r="A154" t="s">
        <v>11</v>
      </c>
      <c r="B154">
        <v>5</v>
      </c>
      <c r="C154">
        <v>20</v>
      </c>
      <c r="D154">
        <v>189761.27636718799</v>
      </c>
      <c r="E154">
        <v>8948361.7480468806</v>
      </c>
      <c r="F154">
        <v>2199.14</v>
      </c>
      <c r="G154" t="s">
        <v>6</v>
      </c>
      <c r="H154">
        <v>120</v>
      </c>
      <c r="I154">
        <f t="shared" ref="I154:J156" si="27">D154/(C154+D154)</f>
        <v>0.99989461552592096</v>
      </c>
      <c r="J154" s="6">
        <f t="shared" si="27"/>
        <v>0.97923410793877386</v>
      </c>
      <c r="K154" s="2">
        <f>(J154*$N$3)/$N$2</f>
        <v>3.4697271541137651</v>
      </c>
    </row>
    <row r="155" spans="1:11" x14ac:dyDescent="0.3">
      <c r="A155" t="s">
        <v>11</v>
      </c>
      <c r="B155">
        <v>5</v>
      </c>
      <c r="C155">
        <v>22</v>
      </c>
      <c r="D155">
        <v>172437.494140625</v>
      </c>
      <c r="E155">
        <v>8636212.9775390606</v>
      </c>
      <c r="F155">
        <v>2213.85</v>
      </c>
      <c r="G155" t="s">
        <v>6</v>
      </c>
      <c r="H155">
        <v>120</v>
      </c>
      <c r="I155">
        <f t="shared" si="27"/>
        <v>0.9998724338134608</v>
      </c>
      <c r="J155" s="6">
        <f t="shared" si="27"/>
        <v>0.98042407350648986</v>
      </c>
      <c r="K155" s="2">
        <f>(J155*$N$3)/$N$2</f>
        <v>3.4739435675426802</v>
      </c>
    </row>
    <row r="156" spans="1:11" x14ac:dyDescent="0.3">
      <c r="A156" t="s">
        <v>11</v>
      </c>
      <c r="B156">
        <v>5</v>
      </c>
      <c r="C156">
        <v>24</v>
      </c>
      <c r="D156">
        <v>192775.095703125</v>
      </c>
      <c r="E156">
        <v>9124417.77197266</v>
      </c>
      <c r="F156">
        <v>2228.62</v>
      </c>
      <c r="G156" t="s">
        <v>6</v>
      </c>
      <c r="H156">
        <v>120</v>
      </c>
      <c r="I156">
        <f t="shared" si="27"/>
        <v>0.99987551808833708</v>
      </c>
      <c r="J156" s="6">
        <f t="shared" si="27"/>
        <v>0.97930974506582114</v>
      </c>
      <c r="K156" s="2">
        <f>(J156*$N$3)/$N$2</f>
        <v>3.4699951596820431</v>
      </c>
    </row>
    <row r="157" spans="1:11" x14ac:dyDescent="0.3">
      <c r="A157" t="s">
        <v>11</v>
      </c>
      <c r="B157">
        <v>2001</v>
      </c>
      <c r="C157">
        <v>2</v>
      </c>
      <c r="D157">
        <v>0</v>
      </c>
      <c r="E157">
        <v>0</v>
      </c>
      <c r="F157">
        <v>2242.9699999999998</v>
      </c>
    </row>
    <row r="158" spans="1:11" x14ac:dyDescent="0.3">
      <c r="A158" t="s">
        <v>11</v>
      </c>
      <c r="B158">
        <v>2001</v>
      </c>
      <c r="C158">
        <v>3</v>
      </c>
      <c r="D158">
        <v>0</v>
      </c>
      <c r="E158">
        <v>0</v>
      </c>
      <c r="F158">
        <v>2257.29</v>
      </c>
    </row>
    <row r="159" spans="1:11" x14ac:dyDescent="0.3">
      <c r="A159" t="s">
        <v>11</v>
      </c>
      <c r="B159">
        <v>2001</v>
      </c>
      <c r="C159">
        <v>2</v>
      </c>
      <c r="D159">
        <v>0</v>
      </c>
      <c r="E159">
        <v>0</v>
      </c>
      <c r="F159">
        <v>2271.58</v>
      </c>
    </row>
    <row r="160" spans="1:11" x14ac:dyDescent="0.3">
      <c r="A160" t="s">
        <v>11</v>
      </c>
      <c r="B160">
        <v>2001</v>
      </c>
      <c r="C160">
        <v>3</v>
      </c>
      <c r="D160">
        <v>0</v>
      </c>
      <c r="E160">
        <v>0</v>
      </c>
      <c r="F160">
        <v>2285.8200000000002</v>
      </c>
    </row>
    <row r="161" spans="1:11" x14ac:dyDescent="0.3">
      <c r="A161" t="s">
        <v>11</v>
      </c>
      <c r="B161">
        <v>4</v>
      </c>
      <c r="C161">
        <v>14</v>
      </c>
      <c r="D161">
        <v>0</v>
      </c>
      <c r="E161">
        <v>0</v>
      </c>
      <c r="F161">
        <v>2300.54</v>
      </c>
      <c r="G161" t="s">
        <v>7</v>
      </c>
      <c r="H161">
        <v>300</v>
      </c>
      <c r="I161">
        <f t="shared" ref="I161:J163" si="28">D161/(C161+D161)</f>
        <v>0</v>
      </c>
      <c r="J161" s="6" t="e">
        <f t="shared" si="28"/>
        <v>#DIV/0!</v>
      </c>
      <c r="K161" s="2" t="e">
        <f>(J161*$N$3)/$N$2</f>
        <v>#DIV/0!</v>
      </c>
    </row>
    <row r="162" spans="1:11" x14ac:dyDescent="0.3">
      <c r="A162" t="s">
        <v>11</v>
      </c>
      <c r="B162">
        <v>4</v>
      </c>
      <c r="C162">
        <v>16</v>
      </c>
      <c r="D162">
        <v>0</v>
      </c>
      <c r="E162">
        <v>0</v>
      </c>
      <c r="F162">
        <v>2315.2600000000002</v>
      </c>
      <c r="G162" t="s">
        <v>7</v>
      </c>
      <c r="H162">
        <v>300</v>
      </c>
      <c r="I162">
        <f t="shared" si="28"/>
        <v>0</v>
      </c>
      <c r="J162" s="6" t="e">
        <f t="shared" si="28"/>
        <v>#DIV/0!</v>
      </c>
      <c r="K162" s="2" t="e">
        <f>(J162*$N$3)/$N$2</f>
        <v>#DIV/0!</v>
      </c>
    </row>
    <row r="163" spans="1:11" x14ac:dyDescent="0.3">
      <c r="A163" t="s">
        <v>11</v>
      </c>
      <c r="B163">
        <v>4</v>
      </c>
      <c r="C163">
        <v>18</v>
      </c>
      <c r="D163">
        <v>0</v>
      </c>
      <c r="E163">
        <v>0</v>
      </c>
      <c r="F163">
        <v>2329.94</v>
      </c>
      <c r="G163" t="s">
        <v>7</v>
      </c>
      <c r="H163">
        <v>300</v>
      </c>
      <c r="I163">
        <f t="shared" si="28"/>
        <v>0</v>
      </c>
      <c r="J163" s="6" t="e">
        <f t="shared" si="28"/>
        <v>#DIV/0!</v>
      </c>
      <c r="K163" s="2" t="e">
        <f>(J163*$N$3)/$N$2</f>
        <v>#DIV/0!</v>
      </c>
    </row>
    <row r="164" spans="1:11" x14ac:dyDescent="0.3">
      <c r="A164" t="s">
        <v>11</v>
      </c>
      <c r="B164">
        <v>2001</v>
      </c>
      <c r="C164">
        <v>2</v>
      </c>
      <c r="D164">
        <v>0</v>
      </c>
      <c r="E164">
        <v>0</v>
      </c>
      <c r="F164">
        <v>2344.27</v>
      </c>
    </row>
    <row r="165" spans="1:11" x14ac:dyDescent="0.3">
      <c r="A165" t="s">
        <v>11</v>
      </c>
      <c r="B165">
        <v>2001</v>
      </c>
      <c r="C165">
        <v>3</v>
      </c>
      <c r="D165">
        <v>0</v>
      </c>
      <c r="E165">
        <v>0</v>
      </c>
      <c r="F165">
        <v>2358.09</v>
      </c>
    </row>
    <row r="166" spans="1:11" x14ac:dyDescent="0.3">
      <c r="A166" t="s">
        <v>11</v>
      </c>
      <c r="B166">
        <v>4</v>
      </c>
      <c r="C166">
        <v>20</v>
      </c>
      <c r="D166">
        <v>0</v>
      </c>
      <c r="E166">
        <v>0</v>
      </c>
      <c r="F166">
        <v>2372.79</v>
      </c>
      <c r="G166" t="s">
        <v>6</v>
      </c>
      <c r="H166">
        <v>300</v>
      </c>
      <c r="I166">
        <f t="shared" ref="I166:J168" si="29">D166/(C166+D166)</f>
        <v>0</v>
      </c>
      <c r="J166" s="6" t="e">
        <f t="shared" si="29"/>
        <v>#DIV/0!</v>
      </c>
      <c r="K166" s="2" t="e">
        <f>(J166*$N$3)/$N$2</f>
        <v>#DIV/0!</v>
      </c>
    </row>
    <row r="167" spans="1:11" x14ac:dyDescent="0.3">
      <c r="A167" t="s">
        <v>11</v>
      </c>
      <c r="B167">
        <v>4</v>
      </c>
      <c r="C167">
        <v>22</v>
      </c>
      <c r="D167">
        <v>0</v>
      </c>
      <c r="E167">
        <v>0</v>
      </c>
      <c r="F167">
        <v>2387.4899999999998</v>
      </c>
      <c r="G167" t="s">
        <v>6</v>
      </c>
      <c r="H167">
        <v>300</v>
      </c>
      <c r="I167">
        <f t="shared" si="29"/>
        <v>0</v>
      </c>
      <c r="J167" s="6" t="e">
        <f t="shared" si="29"/>
        <v>#DIV/0!</v>
      </c>
      <c r="K167" s="2" t="e">
        <f>(J167*$N$3)/$N$2</f>
        <v>#DIV/0!</v>
      </c>
    </row>
    <row r="168" spans="1:11" x14ac:dyDescent="0.3">
      <c r="A168" t="s">
        <v>11</v>
      </c>
      <c r="B168">
        <v>4</v>
      </c>
      <c r="C168">
        <v>24</v>
      </c>
      <c r="D168">
        <v>0</v>
      </c>
      <c r="E168">
        <v>0</v>
      </c>
      <c r="F168">
        <v>2402.1999999999998</v>
      </c>
      <c r="G168" t="s">
        <v>6</v>
      </c>
      <c r="H168">
        <v>300</v>
      </c>
      <c r="I168">
        <f t="shared" si="29"/>
        <v>0</v>
      </c>
      <c r="J168" s="6" t="e">
        <f t="shared" si="29"/>
        <v>#DIV/0!</v>
      </c>
      <c r="K168" s="2" t="e">
        <f>(J168*$N$3)/$N$2</f>
        <v>#DIV/0!</v>
      </c>
    </row>
    <row r="169" spans="1:11" x14ac:dyDescent="0.3">
      <c r="A169" t="s">
        <v>11</v>
      </c>
      <c r="B169">
        <v>2001</v>
      </c>
      <c r="C169">
        <v>2</v>
      </c>
      <c r="D169">
        <v>0</v>
      </c>
      <c r="E169">
        <v>0</v>
      </c>
      <c r="F169">
        <v>2416.66</v>
      </c>
    </row>
    <row r="170" spans="1:11" x14ac:dyDescent="0.3">
      <c r="A170" t="s">
        <v>11</v>
      </c>
      <c r="B170">
        <v>2001</v>
      </c>
      <c r="C170">
        <v>3</v>
      </c>
      <c r="D170">
        <v>0</v>
      </c>
      <c r="E170">
        <v>0</v>
      </c>
      <c r="F170">
        <v>2430.84</v>
      </c>
    </row>
    <row r="171" spans="1:11" x14ac:dyDescent="0.3">
      <c r="A171" t="s">
        <v>11</v>
      </c>
      <c r="B171">
        <v>2001</v>
      </c>
      <c r="C171">
        <v>2</v>
      </c>
      <c r="D171">
        <v>0</v>
      </c>
      <c r="E171">
        <v>0</v>
      </c>
      <c r="F171">
        <v>2445.27</v>
      </c>
    </row>
    <row r="172" spans="1:11" x14ac:dyDescent="0.3">
      <c r="A172" t="s">
        <v>11</v>
      </c>
      <c r="B172">
        <v>2001</v>
      </c>
      <c r="C172">
        <v>3</v>
      </c>
      <c r="D172">
        <v>0</v>
      </c>
      <c r="E172">
        <v>0</v>
      </c>
      <c r="F172">
        <v>2459.46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1CEF-C7EA-4A77-93B0-78473AF3C832}">
  <dimension ref="A1:S174"/>
  <sheetViews>
    <sheetView topLeftCell="K1" workbookViewId="0">
      <selection activeCell="R9" sqref="R9:S20"/>
    </sheetView>
  </sheetViews>
  <sheetFormatPr defaultRowHeight="14.4" x14ac:dyDescent="0.3"/>
  <cols>
    <col min="10" max="10" width="13.109375" style="6" bestFit="1" customWidth="1"/>
    <col min="14" max="15" width="9.33203125" bestFit="1" customWidth="1"/>
    <col min="18" max="19" width="9.33203125" bestFit="1" customWidth="1"/>
  </cols>
  <sheetData>
    <row r="1" spans="1:19" x14ac:dyDescent="0.3">
      <c r="A1" t="s">
        <v>21</v>
      </c>
    </row>
    <row r="2" spans="1:19" x14ac:dyDescent="0.3">
      <c r="A2" t="s">
        <v>0</v>
      </c>
      <c r="B2" t="s">
        <v>1</v>
      </c>
      <c r="C2" t="s">
        <v>2</v>
      </c>
      <c r="D2">
        <v>1442.73</v>
      </c>
      <c r="E2">
        <v>1474.73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 s="2">
        <v>2.7599999999999999E-3</v>
      </c>
    </row>
    <row r="3" spans="1:19" x14ac:dyDescent="0.3">
      <c r="A3" t="s">
        <v>4</v>
      </c>
      <c r="B3">
        <v>2001</v>
      </c>
      <c r="C3">
        <v>2</v>
      </c>
      <c r="D3">
        <v>0</v>
      </c>
      <c r="E3">
        <v>0</v>
      </c>
      <c r="F3">
        <v>3.15</v>
      </c>
      <c r="M3" t="s">
        <v>15</v>
      </c>
      <c r="N3" s="2">
        <v>8.9999999999999993E-3</v>
      </c>
    </row>
    <row r="4" spans="1:19" x14ac:dyDescent="0.3">
      <c r="A4" t="s">
        <v>4</v>
      </c>
      <c r="B4">
        <v>2001</v>
      </c>
      <c r="C4">
        <v>3</v>
      </c>
      <c r="D4">
        <v>0</v>
      </c>
      <c r="E4">
        <v>0</v>
      </c>
      <c r="F4">
        <v>17.3</v>
      </c>
    </row>
    <row r="5" spans="1:19" x14ac:dyDescent="0.3">
      <c r="A5" t="s">
        <v>4</v>
      </c>
      <c r="B5">
        <v>2001</v>
      </c>
      <c r="C5">
        <v>2</v>
      </c>
      <c r="D5">
        <v>0</v>
      </c>
      <c r="E5">
        <v>0</v>
      </c>
      <c r="F5">
        <v>31.78</v>
      </c>
    </row>
    <row r="6" spans="1:19" x14ac:dyDescent="0.3">
      <c r="A6" t="s">
        <v>4</v>
      </c>
      <c r="B6">
        <v>2001</v>
      </c>
      <c r="C6">
        <v>3</v>
      </c>
      <c r="D6">
        <v>0</v>
      </c>
      <c r="E6">
        <v>0</v>
      </c>
      <c r="F6">
        <v>45.92</v>
      </c>
    </row>
    <row r="7" spans="1:19" ht="15.6" x14ac:dyDescent="0.3">
      <c r="A7" t="s">
        <v>4</v>
      </c>
      <c r="B7">
        <v>2001</v>
      </c>
      <c r="C7">
        <v>2</v>
      </c>
      <c r="D7">
        <v>0</v>
      </c>
      <c r="E7">
        <v>0</v>
      </c>
      <c r="F7">
        <v>60.3</v>
      </c>
      <c r="M7" s="3"/>
      <c r="N7" s="4" t="s">
        <v>17</v>
      </c>
      <c r="O7" s="3"/>
      <c r="Q7" s="3"/>
      <c r="R7" s="4" t="s">
        <v>17</v>
      </c>
      <c r="S7" s="3"/>
    </row>
    <row r="8" spans="1:19" ht="15.6" x14ac:dyDescent="0.3">
      <c r="A8" t="s">
        <v>4</v>
      </c>
      <c r="B8">
        <v>2001</v>
      </c>
      <c r="C8">
        <v>3</v>
      </c>
      <c r="D8">
        <v>0</v>
      </c>
      <c r="E8">
        <v>0</v>
      </c>
      <c r="F8">
        <v>74.5</v>
      </c>
      <c r="M8" s="4" t="s">
        <v>18</v>
      </c>
      <c r="N8" s="4" t="s">
        <v>13</v>
      </c>
      <c r="O8" s="3" t="s">
        <v>19</v>
      </c>
      <c r="Q8" s="4" t="s">
        <v>18</v>
      </c>
      <c r="R8" s="4" t="s">
        <v>20</v>
      </c>
      <c r="S8" s="3" t="s">
        <v>19</v>
      </c>
    </row>
    <row r="9" spans="1:19" ht="15.6" x14ac:dyDescent="0.3">
      <c r="A9" t="s">
        <v>4</v>
      </c>
      <c r="B9">
        <v>16</v>
      </c>
      <c r="C9">
        <v>1</v>
      </c>
      <c r="D9">
        <v>5330856.9775390597</v>
      </c>
      <c r="E9">
        <v>0</v>
      </c>
      <c r="F9">
        <v>89.48</v>
      </c>
      <c r="G9" t="s">
        <v>7</v>
      </c>
      <c r="H9">
        <v>0</v>
      </c>
      <c r="I9">
        <f>D9/(C9+D9)</f>
        <v>0.99999981241293534</v>
      </c>
      <c r="J9" s="6">
        <f>E9/(D9+E9)</f>
        <v>0</v>
      </c>
      <c r="K9" s="2">
        <f>(J9*$N$3)/$N$2</f>
        <v>0</v>
      </c>
      <c r="M9" s="3">
        <v>0</v>
      </c>
      <c r="N9" s="5">
        <f>AVERAGE(K14:K16)</f>
        <v>0</v>
      </c>
      <c r="O9" s="5">
        <f>STDEV(K14:K16)</f>
        <v>0</v>
      </c>
      <c r="Q9" s="3">
        <v>0</v>
      </c>
      <c r="R9" s="7">
        <f>AVERAGE(J14:J16)</f>
        <v>0</v>
      </c>
      <c r="S9" s="5">
        <f>STDEV(J14:J16)</f>
        <v>0</v>
      </c>
    </row>
    <row r="10" spans="1:19" ht="15.6" x14ac:dyDescent="0.3">
      <c r="A10" t="s">
        <v>4</v>
      </c>
      <c r="B10">
        <v>16</v>
      </c>
      <c r="C10">
        <v>3</v>
      </c>
      <c r="D10">
        <v>4674528.5283203097</v>
      </c>
      <c r="E10">
        <v>0</v>
      </c>
      <c r="F10">
        <v>104.42</v>
      </c>
      <c r="G10" t="s">
        <v>7</v>
      </c>
      <c r="H10">
        <v>0</v>
      </c>
      <c r="I10">
        <f t="shared" ref="I10:J11" si="0">D10/(C10+D10)</f>
        <v>0.99999935822445907</v>
      </c>
      <c r="J10" s="6">
        <f t="shared" si="0"/>
        <v>0</v>
      </c>
      <c r="K10" s="2">
        <f>(J10*$N$3)/$N$2</f>
        <v>0</v>
      </c>
      <c r="M10" s="3">
        <v>0.5</v>
      </c>
      <c r="N10" s="5">
        <f>AVERAGE(K26:K28)</f>
        <v>2.7820705109870901E-3</v>
      </c>
      <c r="O10" s="5">
        <f>STDEV(K26:K28)</f>
        <v>4.8186874752687483E-3</v>
      </c>
      <c r="Q10" s="3">
        <v>0.5</v>
      </c>
      <c r="R10" s="7">
        <f>AVERAGE(J26:J28)</f>
        <v>8.5316829003604083E-4</v>
      </c>
      <c r="S10" s="5">
        <f>STDEV(J26:J28)</f>
        <v>1.4777308257490826E-3</v>
      </c>
    </row>
    <row r="11" spans="1:19" ht="15.6" x14ac:dyDescent="0.3">
      <c r="A11" t="s">
        <v>4</v>
      </c>
      <c r="B11">
        <v>16</v>
      </c>
      <c r="C11">
        <v>5</v>
      </c>
      <c r="D11">
        <v>5421380.81396484</v>
      </c>
      <c r="E11">
        <v>0</v>
      </c>
      <c r="F11">
        <v>119.28</v>
      </c>
      <c r="G11" t="s">
        <v>7</v>
      </c>
      <c r="H11">
        <v>0</v>
      </c>
      <c r="I11">
        <f t="shared" si="0"/>
        <v>0.99999907772658658</v>
      </c>
      <c r="J11" s="6">
        <f t="shared" si="0"/>
        <v>0</v>
      </c>
      <c r="K11" s="2">
        <f>(J11*$N$3)/$N$2</f>
        <v>0</v>
      </c>
      <c r="M11" s="3">
        <v>1</v>
      </c>
      <c r="N11" s="5">
        <f>AVERAGE(K38:K40)</f>
        <v>2.8967833449143165E-2</v>
      </c>
      <c r="O11" s="5">
        <f>STDEV(K38:K40)</f>
        <v>1.8786181450909861E-2</v>
      </c>
      <c r="Q11" s="3">
        <v>1</v>
      </c>
      <c r="R11" s="7">
        <f>AVERAGE(J38:J40)</f>
        <v>8.8834689244039044E-3</v>
      </c>
      <c r="S11" s="5">
        <f>STDEV(J38:J40)</f>
        <v>5.7610956449456931E-3</v>
      </c>
    </row>
    <row r="12" spans="1:19" ht="15.6" x14ac:dyDescent="0.3">
      <c r="A12" t="s">
        <v>4</v>
      </c>
      <c r="B12">
        <v>2001</v>
      </c>
      <c r="C12">
        <v>2</v>
      </c>
      <c r="D12">
        <v>0</v>
      </c>
      <c r="E12">
        <v>0</v>
      </c>
      <c r="F12">
        <v>133.65</v>
      </c>
      <c r="M12" s="3">
        <v>1.5</v>
      </c>
      <c r="N12" s="5">
        <f>AVERAGE(K50:K52)</f>
        <v>5.1964583826785093E-2</v>
      </c>
      <c r="O12" s="5">
        <f>STDEV(K50:K52)</f>
        <v>1.7687661612843655E-2</v>
      </c>
      <c r="Q12" s="3">
        <v>1.5</v>
      </c>
      <c r="R12" s="7">
        <f>AVERAGE(J50:J52)</f>
        <v>1.5935805706880763E-2</v>
      </c>
      <c r="S12" s="5">
        <f>STDEV(J50:J52)</f>
        <v>5.4242162279387052E-3</v>
      </c>
    </row>
    <row r="13" spans="1:19" ht="15.6" x14ac:dyDescent="0.3">
      <c r="A13" t="s">
        <v>4</v>
      </c>
      <c r="B13">
        <v>2001</v>
      </c>
      <c r="C13">
        <v>3</v>
      </c>
      <c r="D13">
        <v>0</v>
      </c>
      <c r="E13">
        <v>0</v>
      </c>
      <c r="F13">
        <v>147.84</v>
      </c>
      <c r="M13" s="3">
        <v>3</v>
      </c>
      <c r="N13" s="5">
        <f>AVERAGE(K62:K64)</f>
        <v>0.13961298936258495</v>
      </c>
      <c r="O13" s="5">
        <f>STDEV(K62:K64)</f>
        <v>5.4738303450222889E-2</v>
      </c>
      <c r="Q13" s="3">
        <v>3</v>
      </c>
      <c r="R13" s="7">
        <f>AVERAGE(J62:J64)</f>
        <v>4.2814650071192728E-2</v>
      </c>
      <c r="S13" s="5">
        <f>STDEV(J62:J64)</f>
        <v>1.6786413058068342E-2</v>
      </c>
    </row>
    <row r="14" spans="1:19" ht="15.6" x14ac:dyDescent="0.3">
      <c r="A14" t="s">
        <v>4</v>
      </c>
      <c r="B14">
        <v>16</v>
      </c>
      <c r="C14">
        <v>7</v>
      </c>
      <c r="D14">
        <v>4476777.82421875</v>
      </c>
      <c r="E14">
        <v>0</v>
      </c>
      <c r="F14">
        <v>162.68</v>
      </c>
      <c r="G14" t="s">
        <v>6</v>
      </c>
      <c r="H14">
        <v>0</v>
      </c>
      <c r="I14">
        <f t="shared" ref="I14:I16" si="1">(D14/C14+D14)</f>
        <v>5116317.5133928573</v>
      </c>
      <c r="J14" s="6">
        <f>E14/(D14+E14)</f>
        <v>0</v>
      </c>
      <c r="K14" s="2">
        <f>(J14*$N$3)/$N$2</f>
        <v>0</v>
      </c>
      <c r="M14" s="3">
        <v>5</v>
      </c>
      <c r="N14" s="5">
        <f>AVERAGE(K74:K76)</f>
        <v>0.2329678478062818</v>
      </c>
      <c r="O14" s="5">
        <f>STDEV(K74:K76)</f>
        <v>7.884091279931793E-2</v>
      </c>
      <c r="Q14" s="3">
        <v>5</v>
      </c>
      <c r="R14" s="7">
        <f>AVERAGE(J74:J76)</f>
        <v>7.1443473327259754E-2</v>
      </c>
      <c r="S14" s="5">
        <f>STDEV(J74:J76)</f>
        <v>2.4177879925124143E-2</v>
      </c>
    </row>
    <row r="15" spans="1:19" ht="15.6" x14ac:dyDescent="0.3">
      <c r="A15" t="s">
        <v>4</v>
      </c>
      <c r="B15">
        <v>16</v>
      </c>
      <c r="C15">
        <v>9</v>
      </c>
      <c r="D15">
        <v>4484033.9921875</v>
      </c>
      <c r="E15">
        <v>0</v>
      </c>
      <c r="F15">
        <v>177.65</v>
      </c>
      <c r="G15" t="s">
        <v>6</v>
      </c>
      <c r="H15">
        <v>0</v>
      </c>
      <c r="I15">
        <f t="shared" si="1"/>
        <v>4982259.991319444</v>
      </c>
      <c r="J15" s="6">
        <f>E15/(D15+E15)</f>
        <v>0</v>
      </c>
      <c r="K15" s="2">
        <f>(J15*$N$3)/$N$2</f>
        <v>0</v>
      </c>
      <c r="M15" s="3">
        <v>10</v>
      </c>
      <c r="N15" s="5">
        <f>AVERAGE(K86:K88)</f>
        <v>0.42687502250418169</v>
      </c>
      <c r="O15" s="5">
        <f>STDEV(K86:K88)</f>
        <v>0.12836775873422901</v>
      </c>
      <c r="Q15" s="3">
        <v>10</v>
      </c>
      <c r="R15" s="7">
        <f>AVERAGE(J86:J88)</f>
        <v>0.1309083402346157</v>
      </c>
      <c r="S15" s="5">
        <f>STDEV(J86:J88)</f>
        <v>3.9366112678496941E-2</v>
      </c>
    </row>
    <row r="16" spans="1:19" ht="15.6" x14ac:dyDescent="0.3">
      <c r="A16" t="s">
        <v>4</v>
      </c>
      <c r="B16">
        <v>16</v>
      </c>
      <c r="C16">
        <v>11</v>
      </c>
      <c r="D16">
        <v>4187694.2807617201</v>
      </c>
      <c r="E16">
        <v>0</v>
      </c>
      <c r="F16">
        <v>192.62</v>
      </c>
      <c r="G16" t="s">
        <v>6</v>
      </c>
      <c r="H16">
        <v>0</v>
      </c>
      <c r="I16">
        <f t="shared" si="1"/>
        <v>4568393.7608309677</v>
      </c>
      <c r="J16" s="6">
        <f>E16/(D16+E16)</f>
        <v>0</v>
      </c>
      <c r="K16" s="2">
        <f>(J16*$N$3)/$N$2</f>
        <v>0</v>
      </c>
      <c r="M16" s="3">
        <v>20</v>
      </c>
      <c r="N16" s="5">
        <f>AVERAGE(K98:K100)</f>
        <v>0.77970996933738901</v>
      </c>
      <c r="O16" s="5">
        <f>STDEV(K98:K100)</f>
        <v>0.19133854429657968</v>
      </c>
      <c r="Q16" s="3">
        <v>20</v>
      </c>
      <c r="R16" s="7">
        <f>AVERAGE(J98:J100)</f>
        <v>0.23911105726346596</v>
      </c>
      <c r="S16" s="5">
        <f>STDEV(J98:J100)</f>
        <v>5.8677153584284394E-2</v>
      </c>
    </row>
    <row r="17" spans="1:19" ht="15.6" x14ac:dyDescent="0.3">
      <c r="A17" t="s">
        <v>4</v>
      </c>
      <c r="B17">
        <v>2001</v>
      </c>
      <c r="C17">
        <v>2</v>
      </c>
      <c r="D17">
        <v>0</v>
      </c>
      <c r="E17">
        <v>0</v>
      </c>
      <c r="F17">
        <v>206.95</v>
      </c>
      <c r="M17" s="3">
        <v>40</v>
      </c>
      <c r="N17" s="5">
        <f>AVERAGE(K114:K116)</f>
        <v>1.2581053605013264</v>
      </c>
      <c r="O17" s="5">
        <f>STDEV(K114:K116)</f>
        <v>0.31137381473174053</v>
      </c>
      <c r="Q17" s="3">
        <v>40</v>
      </c>
      <c r="R17" s="7">
        <f>AVERAGE(J114:J116)</f>
        <v>0.38581897722040676</v>
      </c>
      <c r="S17" s="5">
        <f>STDEV(J114:J116)</f>
        <v>9.548796985106725E-2</v>
      </c>
    </row>
    <row r="18" spans="1:19" ht="15.6" x14ac:dyDescent="0.3">
      <c r="A18" t="s">
        <v>4</v>
      </c>
      <c r="B18">
        <v>2001</v>
      </c>
      <c r="C18">
        <v>3</v>
      </c>
      <c r="D18">
        <v>0</v>
      </c>
      <c r="E18">
        <v>0</v>
      </c>
      <c r="F18">
        <v>221.16</v>
      </c>
      <c r="M18" s="3">
        <v>60</v>
      </c>
      <c r="N18" s="5">
        <f>AVERAGE(K128:K130)</f>
        <v>1.63197931239047</v>
      </c>
      <c r="O18" s="5">
        <f>STDEV(K128:K130)</f>
        <v>0.33476031183350891</v>
      </c>
      <c r="Q18" s="3">
        <v>60</v>
      </c>
      <c r="R18" s="7">
        <f>AVERAGE(J128:J130)</f>
        <v>0.50047365579974412</v>
      </c>
      <c r="S18" s="5">
        <f>STDEV(J128:J130)</f>
        <v>0.10265982896227629</v>
      </c>
    </row>
    <row r="19" spans="1:19" ht="15.6" x14ac:dyDescent="0.3">
      <c r="A19" t="s">
        <v>4</v>
      </c>
      <c r="B19">
        <v>2001</v>
      </c>
      <c r="C19">
        <v>2</v>
      </c>
      <c r="D19">
        <v>0</v>
      </c>
      <c r="E19">
        <v>0</v>
      </c>
      <c r="F19">
        <v>235.57</v>
      </c>
      <c r="M19" s="3">
        <v>90</v>
      </c>
      <c r="N19" s="5">
        <f>AVERAGE(K142:K144)</f>
        <v>2.012168223511726</v>
      </c>
      <c r="O19" s="5">
        <f>STDEV(K142:K144)</f>
        <v>0.33163346190394588</v>
      </c>
      <c r="Q19" s="3">
        <v>90</v>
      </c>
      <c r="R19" s="7">
        <f>AVERAGE(J142:J144)</f>
        <v>0.61706492187692941</v>
      </c>
      <c r="S19" s="5">
        <f>STDEV(J142:J144)</f>
        <v>0.10170092831720939</v>
      </c>
    </row>
    <row r="20" spans="1:19" ht="15.6" x14ac:dyDescent="0.3">
      <c r="A20" t="s">
        <v>4</v>
      </c>
      <c r="B20">
        <v>2001</v>
      </c>
      <c r="C20">
        <v>3</v>
      </c>
      <c r="D20">
        <v>0</v>
      </c>
      <c r="E20">
        <v>0</v>
      </c>
      <c r="F20">
        <v>249.75</v>
      </c>
      <c r="M20" s="3">
        <v>120</v>
      </c>
      <c r="N20" s="2">
        <f>AVERAGE(K156:K158)</f>
        <v>2.2781999214953101</v>
      </c>
      <c r="O20" s="5">
        <f>STDEV(K156:K158)</f>
        <v>0.34819261698919329</v>
      </c>
      <c r="Q20" s="3">
        <v>120</v>
      </c>
      <c r="R20" s="6">
        <f>AVERAGE(J156:J158)</f>
        <v>0.69864797592522832</v>
      </c>
      <c r="S20" s="5">
        <f>STDEV(J156:J158)</f>
        <v>0.1067790692100203</v>
      </c>
    </row>
    <row r="21" spans="1:19" x14ac:dyDescent="0.3">
      <c r="A21" t="s">
        <v>4</v>
      </c>
      <c r="B21">
        <v>15</v>
      </c>
      <c r="C21">
        <v>1</v>
      </c>
      <c r="D21">
        <v>3983155.47265625</v>
      </c>
      <c r="E21">
        <v>0</v>
      </c>
      <c r="F21">
        <v>264.7</v>
      </c>
      <c r="G21" t="s">
        <v>7</v>
      </c>
      <c r="H21">
        <v>0.5</v>
      </c>
      <c r="I21">
        <f t="shared" ref="I21:J23" si="2">D21/(C21+D21)</f>
        <v>0.99999974894282795</v>
      </c>
      <c r="J21" s="6">
        <f t="shared" si="2"/>
        <v>0</v>
      </c>
      <c r="K21" s="2">
        <f>(J21*$N$3)/$N$2</f>
        <v>0</v>
      </c>
    </row>
    <row r="22" spans="1:19" x14ac:dyDescent="0.3">
      <c r="A22" t="s">
        <v>4</v>
      </c>
      <c r="B22">
        <v>15</v>
      </c>
      <c r="C22">
        <v>3</v>
      </c>
      <c r="D22">
        <v>4131693.8481445299</v>
      </c>
      <c r="E22">
        <v>0</v>
      </c>
      <c r="F22">
        <v>279.56</v>
      </c>
      <c r="G22" t="s">
        <v>7</v>
      </c>
      <c r="H22">
        <v>0.5</v>
      </c>
      <c r="I22">
        <f t="shared" si="2"/>
        <v>0.99999927390607046</v>
      </c>
      <c r="J22" s="6">
        <f t="shared" si="2"/>
        <v>0</v>
      </c>
      <c r="K22" s="2">
        <f>(J22*$N$3)/$N$2</f>
        <v>0</v>
      </c>
    </row>
    <row r="23" spans="1:19" x14ac:dyDescent="0.3">
      <c r="A23" t="s">
        <v>4</v>
      </c>
      <c r="B23">
        <v>15</v>
      </c>
      <c r="C23">
        <v>5</v>
      </c>
      <c r="D23">
        <v>3851088.9980468801</v>
      </c>
      <c r="E23">
        <v>0</v>
      </c>
      <c r="F23">
        <v>294.54000000000002</v>
      </c>
      <c r="G23" t="s">
        <v>7</v>
      </c>
      <c r="H23">
        <v>0.5</v>
      </c>
      <c r="I23">
        <f t="shared" si="2"/>
        <v>0.99999870166762939</v>
      </c>
      <c r="J23" s="6">
        <f t="shared" si="2"/>
        <v>0</v>
      </c>
      <c r="K23" s="2">
        <f>(J23*$N$3)/$N$2</f>
        <v>0</v>
      </c>
    </row>
    <row r="24" spans="1:19" x14ac:dyDescent="0.3">
      <c r="A24" t="s">
        <v>4</v>
      </c>
      <c r="B24">
        <v>2001</v>
      </c>
      <c r="C24">
        <v>2</v>
      </c>
      <c r="D24">
        <v>0</v>
      </c>
      <c r="E24">
        <v>0</v>
      </c>
      <c r="F24">
        <v>308.88</v>
      </c>
    </row>
    <row r="25" spans="1:19" x14ac:dyDescent="0.3">
      <c r="A25" t="s">
        <v>4</v>
      </c>
      <c r="B25">
        <v>2001</v>
      </c>
      <c r="C25">
        <v>3</v>
      </c>
      <c r="D25">
        <v>0</v>
      </c>
      <c r="E25">
        <v>0</v>
      </c>
      <c r="F25">
        <v>323.08999999999997</v>
      </c>
    </row>
    <row r="26" spans="1:19" x14ac:dyDescent="0.3">
      <c r="A26" t="s">
        <v>4</v>
      </c>
      <c r="B26">
        <v>15</v>
      </c>
      <c r="C26">
        <v>7</v>
      </c>
      <c r="D26">
        <v>4589717.14697266</v>
      </c>
      <c r="E26">
        <v>0</v>
      </c>
      <c r="F26">
        <v>338.07</v>
      </c>
      <c r="G26" t="s">
        <v>6</v>
      </c>
      <c r="H26">
        <v>0.5</v>
      </c>
      <c r="I26">
        <f t="shared" ref="I26:I28" si="3">(D26/C26+D26)</f>
        <v>5245391.025111611</v>
      </c>
      <c r="J26" s="6">
        <f>E26/(D26+E26)</f>
        <v>0</v>
      </c>
      <c r="K26" s="2">
        <f>(J26*$N$3)/$N$2</f>
        <v>0</v>
      </c>
    </row>
    <row r="27" spans="1:19" x14ac:dyDescent="0.3">
      <c r="A27" t="s">
        <v>4</v>
      </c>
      <c r="B27">
        <v>15</v>
      </c>
      <c r="C27">
        <v>9</v>
      </c>
      <c r="D27">
        <v>4028373.9433593801</v>
      </c>
      <c r="E27">
        <v>10337.1005859375</v>
      </c>
      <c r="F27">
        <v>352.93</v>
      </c>
      <c r="G27" t="s">
        <v>6</v>
      </c>
      <c r="H27">
        <v>0.5</v>
      </c>
      <c r="I27">
        <f t="shared" si="3"/>
        <v>4475971.0481770886</v>
      </c>
      <c r="J27" s="6">
        <f>E27/(D27+E27)</f>
        <v>2.5595048701081225E-3</v>
      </c>
      <c r="K27" s="2">
        <f>(J27*$N$3)/$N$2</f>
        <v>8.3462115329612698E-3</v>
      </c>
    </row>
    <row r="28" spans="1:19" x14ac:dyDescent="0.3">
      <c r="A28" t="s">
        <v>4</v>
      </c>
      <c r="B28">
        <v>15</v>
      </c>
      <c r="C28">
        <v>11</v>
      </c>
      <c r="D28">
        <v>4093807.29150391</v>
      </c>
      <c r="E28">
        <v>0</v>
      </c>
      <c r="F28">
        <v>367.93</v>
      </c>
      <c r="G28" t="s">
        <v>6</v>
      </c>
      <c r="H28">
        <v>0.5</v>
      </c>
      <c r="I28">
        <f t="shared" si="3"/>
        <v>4465971.5907315379</v>
      </c>
      <c r="J28" s="6">
        <f>E28/(D28+E28)</f>
        <v>0</v>
      </c>
      <c r="K28" s="2">
        <f>(J28*$N$3)/$N$2</f>
        <v>0</v>
      </c>
    </row>
    <row r="29" spans="1:19" x14ac:dyDescent="0.3">
      <c r="A29" t="s">
        <v>4</v>
      </c>
      <c r="B29">
        <v>2001</v>
      </c>
      <c r="C29">
        <v>2</v>
      </c>
      <c r="D29">
        <v>0</v>
      </c>
      <c r="E29">
        <v>0</v>
      </c>
      <c r="F29">
        <v>382.25</v>
      </c>
    </row>
    <row r="30" spans="1:19" x14ac:dyDescent="0.3">
      <c r="A30" t="s">
        <v>4</v>
      </c>
      <c r="B30">
        <v>2001</v>
      </c>
      <c r="C30">
        <v>3</v>
      </c>
      <c r="D30">
        <v>0</v>
      </c>
      <c r="E30">
        <v>0</v>
      </c>
      <c r="F30">
        <v>396.46</v>
      </c>
    </row>
    <row r="31" spans="1:19" x14ac:dyDescent="0.3">
      <c r="A31" t="s">
        <v>4</v>
      </c>
      <c r="B31">
        <v>2001</v>
      </c>
      <c r="C31">
        <v>2</v>
      </c>
      <c r="D31">
        <v>0</v>
      </c>
      <c r="E31">
        <v>0</v>
      </c>
      <c r="F31">
        <v>410.92</v>
      </c>
    </row>
    <row r="32" spans="1:19" x14ac:dyDescent="0.3">
      <c r="A32" t="s">
        <v>4</v>
      </c>
      <c r="B32">
        <v>2001</v>
      </c>
      <c r="C32">
        <v>3</v>
      </c>
      <c r="D32">
        <v>0</v>
      </c>
      <c r="E32">
        <v>0</v>
      </c>
      <c r="F32">
        <v>425.12</v>
      </c>
    </row>
    <row r="33" spans="1:11" x14ac:dyDescent="0.3">
      <c r="A33" t="s">
        <v>4</v>
      </c>
      <c r="B33">
        <v>14</v>
      </c>
      <c r="C33">
        <v>1</v>
      </c>
      <c r="D33">
        <v>4130332.3310546898</v>
      </c>
      <c r="E33">
        <v>0</v>
      </c>
      <c r="F33">
        <v>439.91</v>
      </c>
      <c r="G33" t="s">
        <v>7</v>
      </c>
      <c r="H33">
        <v>1</v>
      </c>
      <c r="I33">
        <f t="shared" ref="I33:J35" si="4">D33/(C33+D33)</f>
        <v>0.99999975788879014</v>
      </c>
      <c r="J33" s="6">
        <f t="shared" si="4"/>
        <v>0</v>
      </c>
      <c r="K33" s="2">
        <f>(J33*$N$3)/$N$2</f>
        <v>0</v>
      </c>
    </row>
    <row r="34" spans="1:11" x14ac:dyDescent="0.3">
      <c r="A34" t="s">
        <v>4</v>
      </c>
      <c r="B34">
        <v>14</v>
      </c>
      <c r="C34">
        <v>3</v>
      </c>
      <c r="D34">
        <v>3908167.1123046898</v>
      </c>
      <c r="E34">
        <v>0</v>
      </c>
      <c r="F34">
        <v>454.88</v>
      </c>
      <c r="G34" t="s">
        <v>7</v>
      </c>
      <c r="H34">
        <v>1</v>
      </c>
      <c r="I34">
        <f t="shared" si="4"/>
        <v>0.99999923237732402</v>
      </c>
      <c r="J34" s="6">
        <f t="shared" si="4"/>
        <v>0</v>
      </c>
      <c r="K34" s="2">
        <f>(J34*$N$3)/$N$2</f>
        <v>0</v>
      </c>
    </row>
    <row r="35" spans="1:11" x14ac:dyDescent="0.3">
      <c r="A35" t="s">
        <v>4</v>
      </c>
      <c r="B35">
        <v>14</v>
      </c>
      <c r="C35">
        <v>5</v>
      </c>
      <c r="D35">
        <v>4039432.80712891</v>
      </c>
      <c r="E35">
        <v>0</v>
      </c>
      <c r="F35">
        <v>469.85</v>
      </c>
      <c r="G35" t="s">
        <v>7</v>
      </c>
      <c r="H35">
        <v>1</v>
      </c>
      <c r="I35">
        <f t="shared" si="4"/>
        <v>0.99999876220399009</v>
      </c>
      <c r="J35" s="6">
        <f t="shared" si="4"/>
        <v>0</v>
      </c>
      <c r="K35" s="2">
        <f>(J35*$N$3)/$N$2</f>
        <v>0</v>
      </c>
    </row>
    <row r="36" spans="1:11" x14ac:dyDescent="0.3">
      <c r="A36" t="s">
        <v>4</v>
      </c>
      <c r="B36">
        <v>2001</v>
      </c>
      <c r="C36">
        <v>2</v>
      </c>
      <c r="D36">
        <v>0</v>
      </c>
      <c r="E36">
        <v>0</v>
      </c>
      <c r="F36">
        <v>484.17</v>
      </c>
    </row>
    <row r="37" spans="1:11" x14ac:dyDescent="0.3">
      <c r="A37" t="s">
        <v>4</v>
      </c>
      <c r="B37">
        <v>2001</v>
      </c>
      <c r="C37">
        <v>3</v>
      </c>
      <c r="D37">
        <v>0</v>
      </c>
      <c r="E37">
        <v>0</v>
      </c>
      <c r="F37">
        <v>498.4</v>
      </c>
    </row>
    <row r="38" spans="1:11" x14ac:dyDescent="0.3">
      <c r="A38" t="s">
        <v>4</v>
      </c>
      <c r="B38">
        <v>14</v>
      </c>
      <c r="C38">
        <v>7</v>
      </c>
      <c r="D38">
        <v>4680650.75390625</v>
      </c>
      <c r="E38">
        <v>11488.5244140625</v>
      </c>
      <c r="F38">
        <v>513.35</v>
      </c>
      <c r="G38" t="s">
        <v>6</v>
      </c>
      <c r="H38">
        <v>1</v>
      </c>
      <c r="I38">
        <f t="shared" ref="I38:I40" si="5">(D38/C38+D38)</f>
        <v>5349315.1473214282</v>
      </c>
      <c r="J38" s="6">
        <f>E38/(D38+E38)</f>
        <v>2.4484619344409468E-3</v>
      </c>
      <c r="K38" s="2">
        <f>(J38*$N$3)/$N$2</f>
        <v>7.9841150036117827E-3</v>
      </c>
    </row>
    <row r="39" spans="1:11" x14ac:dyDescent="0.3">
      <c r="A39" t="s">
        <v>4</v>
      </c>
      <c r="B39">
        <v>14</v>
      </c>
      <c r="C39">
        <v>9</v>
      </c>
      <c r="D39">
        <v>3778963.9746093801</v>
      </c>
      <c r="E39">
        <v>51953.107910156301</v>
      </c>
      <c r="F39">
        <v>528.21</v>
      </c>
      <c r="G39" t="s">
        <v>6</v>
      </c>
      <c r="H39">
        <v>1</v>
      </c>
      <c r="I39">
        <f t="shared" si="5"/>
        <v>4198848.8606770886</v>
      </c>
      <c r="J39" s="6">
        <f>E39/(D39+E39)</f>
        <v>1.3561532863036421E-2</v>
      </c>
      <c r="K39" s="2">
        <f>(J39*$N$3)/$N$2</f>
        <v>4.4222389770770941E-2</v>
      </c>
    </row>
    <row r="40" spans="1:11" x14ac:dyDescent="0.3">
      <c r="A40" t="s">
        <v>4</v>
      </c>
      <c r="B40">
        <v>14</v>
      </c>
      <c r="C40">
        <v>11</v>
      </c>
      <c r="D40">
        <v>3949360.1953125</v>
      </c>
      <c r="E40">
        <v>42474.7685546875</v>
      </c>
      <c r="F40">
        <v>543.09</v>
      </c>
      <c r="G40" t="s">
        <v>6</v>
      </c>
      <c r="H40">
        <v>1</v>
      </c>
      <c r="I40">
        <f t="shared" si="5"/>
        <v>4308392.9403409092</v>
      </c>
      <c r="J40" s="6">
        <f>E40/(D40+E40)</f>
        <v>1.0640411975734345E-2</v>
      </c>
      <c r="K40" s="2">
        <f>(J40*$N$3)/$N$2</f>
        <v>3.4696995573046771E-2</v>
      </c>
    </row>
    <row r="41" spans="1:11" x14ac:dyDescent="0.3">
      <c r="A41" t="s">
        <v>4</v>
      </c>
      <c r="B41">
        <v>2001</v>
      </c>
      <c r="C41">
        <v>2</v>
      </c>
      <c r="D41">
        <v>0</v>
      </c>
      <c r="E41">
        <v>0</v>
      </c>
      <c r="F41">
        <v>557.55999999999995</v>
      </c>
    </row>
    <row r="42" spans="1:11" x14ac:dyDescent="0.3">
      <c r="A42" t="s">
        <v>4</v>
      </c>
      <c r="B42">
        <v>2001</v>
      </c>
      <c r="C42">
        <v>3</v>
      </c>
      <c r="D42">
        <v>0</v>
      </c>
      <c r="E42">
        <v>0</v>
      </c>
      <c r="F42">
        <v>571.75</v>
      </c>
    </row>
    <row r="43" spans="1:11" x14ac:dyDescent="0.3">
      <c r="A43" t="s">
        <v>4</v>
      </c>
      <c r="B43">
        <v>2001</v>
      </c>
      <c r="C43">
        <v>2</v>
      </c>
      <c r="D43">
        <v>0</v>
      </c>
      <c r="E43">
        <v>0</v>
      </c>
      <c r="F43">
        <v>586.17999999999995</v>
      </c>
    </row>
    <row r="44" spans="1:11" x14ac:dyDescent="0.3">
      <c r="A44" t="s">
        <v>4</v>
      </c>
      <c r="B44">
        <v>2001</v>
      </c>
      <c r="C44">
        <v>3</v>
      </c>
      <c r="D44">
        <v>0</v>
      </c>
      <c r="E44">
        <v>0</v>
      </c>
      <c r="F44">
        <v>600.35</v>
      </c>
    </row>
    <row r="45" spans="1:11" x14ac:dyDescent="0.3">
      <c r="A45" t="s">
        <v>4</v>
      </c>
      <c r="B45">
        <v>13</v>
      </c>
      <c r="C45">
        <v>1</v>
      </c>
      <c r="D45">
        <v>4014909.58984375</v>
      </c>
      <c r="E45">
        <v>0</v>
      </c>
      <c r="F45">
        <v>615.32000000000005</v>
      </c>
      <c r="G45" t="s">
        <v>7</v>
      </c>
      <c r="H45">
        <v>1.5</v>
      </c>
      <c r="I45">
        <f t="shared" ref="I45:J47" si="6">D45/(C45+D45)</f>
        <v>0.99999975092845095</v>
      </c>
      <c r="J45" s="6">
        <f t="shared" si="6"/>
        <v>0</v>
      </c>
      <c r="K45" s="2">
        <f>(J45*$N$3)/$N$2</f>
        <v>0</v>
      </c>
    </row>
    <row r="46" spans="1:11" x14ac:dyDescent="0.3">
      <c r="A46" t="s">
        <v>4</v>
      </c>
      <c r="B46">
        <v>13</v>
      </c>
      <c r="C46">
        <v>3</v>
      </c>
      <c r="D46">
        <v>3859940.95068359</v>
      </c>
      <c r="E46">
        <v>0</v>
      </c>
      <c r="F46">
        <v>630.17999999999995</v>
      </c>
      <c r="G46" t="s">
        <v>7</v>
      </c>
      <c r="H46">
        <v>1.5</v>
      </c>
      <c r="I46">
        <f t="shared" si="6"/>
        <v>0.99999922278664188</v>
      </c>
      <c r="J46" s="6">
        <f t="shared" si="6"/>
        <v>0</v>
      </c>
      <c r="K46" s="2">
        <f>(J46*$N$3)/$N$2</f>
        <v>0</v>
      </c>
    </row>
    <row r="47" spans="1:11" x14ac:dyDescent="0.3">
      <c r="A47" t="s">
        <v>4</v>
      </c>
      <c r="B47">
        <v>13</v>
      </c>
      <c r="C47">
        <v>5</v>
      </c>
      <c r="D47">
        <v>4013695.7080078102</v>
      </c>
      <c r="E47">
        <v>0</v>
      </c>
      <c r="F47">
        <v>645.13</v>
      </c>
      <c r="G47" t="s">
        <v>7</v>
      </c>
      <c r="H47">
        <v>1.5</v>
      </c>
      <c r="I47">
        <f t="shared" si="6"/>
        <v>0.99999875426685647</v>
      </c>
      <c r="J47" s="6">
        <f t="shared" si="6"/>
        <v>0</v>
      </c>
      <c r="K47" s="2">
        <f>(J47*$N$3)/$N$2</f>
        <v>0</v>
      </c>
    </row>
    <row r="48" spans="1:11" x14ac:dyDescent="0.3">
      <c r="A48" t="s">
        <v>4</v>
      </c>
      <c r="B48">
        <v>2001</v>
      </c>
      <c r="C48">
        <v>2</v>
      </c>
      <c r="D48">
        <v>0</v>
      </c>
      <c r="E48">
        <v>0</v>
      </c>
      <c r="F48">
        <v>659.42</v>
      </c>
    </row>
    <row r="49" spans="1:11" x14ac:dyDescent="0.3">
      <c r="A49" t="s">
        <v>4</v>
      </c>
      <c r="B49">
        <v>2001</v>
      </c>
      <c r="C49">
        <v>3</v>
      </c>
      <c r="D49">
        <v>0</v>
      </c>
      <c r="E49">
        <v>0</v>
      </c>
      <c r="F49">
        <v>673.74</v>
      </c>
    </row>
    <row r="50" spans="1:11" x14ac:dyDescent="0.3">
      <c r="A50" t="s">
        <v>4</v>
      </c>
      <c r="B50">
        <v>13</v>
      </c>
      <c r="C50">
        <v>7</v>
      </c>
      <c r="D50">
        <v>4630375.1484375</v>
      </c>
      <c r="E50">
        <v>46487.275390625</v>
      </c>
      <c r="F50">
        <v>688.57</v>
      </c>
      <c r="G50" t="s">
        <v>6</v>
      </c>
      <c r="H50">
        <v>1.5</v>
      </c>
      <c r="I50">
        <f t="shared" ref="I50:I52" si="7">(D50/C50+D50)</f>
        <v>5291857.3125</v>
      </c>
      <c r="J50" s="6">
        <f>E50/(D50+E50)</f>
        <v>9.9398423938615761E-3</v>
      </c>
      <c r="K50" s="2">
        <f>(J50*$N$3)/$N$2</f>
        <v>3.241252954520079E-2</v>
      </c>
    </row>
    <row r="51" spans="1:11" x14ac:dyDescent="0.3">
      <c r="A51" t="s">
        <v>4</v>
      </c>
      <c r="B51">
        <v>13</v>
      </c>
      <c r="C51">
        <v>9</v>
      </c>
      <c r="D51">
        <v>3937555.7265625</v>
      </c>
      <c r="E51">
        <v>82416.376953125</v>
      </c>
      <c r="F51">
        <v>703.44</v>
      </c>
      <c r="G51" t="s">
        <v>6</v>
      </c>
      <c r="H51">
        <v>1.5</v>
      </c>
      <c r="I51">
        <f t="shared" si="7"/>
        <v>4375061.918402778</v>
      </c>
      <c r="J51" s="6">
        <f>E51/(D51+E51)</f>
        <v>2.0501728576934306E-2</v>
      </c>
      <c r="K51" s="2">
        <f>(J51*$N$3)/$N$2</f>
        <v>6.6853462750872741E-2</v>
      </c>
    </row>
    <row r="52" spans="1:11" x14ac:dyDescent="0.3">
      <c r="A52" t="s">
        <v>4</v>
      </c>
      <c r="B52">
        <v>13</v>
      </c>
      <c r="C52">
        <v>11</v>
      </c>
      <c r="D52">
        <v>4034934.7587890602</v>
      </c>
      <c r="E52">
        <v>71308.38671875</v>
      </c>
      <c r="F52">
        <v>718.43</v>
      </c>
      <c r="G52" t="s">
        <v>6</v>
      </c>
      <c r="H52">
        <v>1.5</v>
      </c>
      <c r="I52">
        <f t="shared" si="7"/>
        <v>4401747.0095880656</v>
      </c>
      <c r="J52" s="6">
        <f>E52/(D52+E52)</f>
        <v>1.7365846149846407E-2</v>
      </c>
      <c r="K52" s="2">
        <f>(J52*$N$3)/$N$2</f>
        <v>5.6627759184281756E-2</v>
      </c>
    </row>
    <row r="53" spans="1:11" x14ac:dyDescent="0.3">
      <c r="A53" t="s">
        <v>4</v>
      </c>
      <c r="B53">
        <v>2001</v>
      </c>
      <c r="C53">
        <v>2</v>
      </c>
      <c r="D53">
        <v>0</v>
      </c>
      <c r="E53">
        <v>0</v>
      </c>
      <c r="F53">
        <v>732.75</v>
      </c>
    </row>
    <row r="54" spans="1:11" x14ac:dyDescent="0.3">
      <c r="A54" t="s">
        <v>4</v>
      </c>
      <c r="B54">
        <v>2001</v>
      </c>
      <c r="C54">
        <v>3</v>
      </c>
      <c r="D54">
        <v>0</v>
      </c>
      <c r="E54">
        <v>0</v>
      </c>
      <c r="F54">
        <v>746.94</v>
      </c>
    </row>
    <row r="55" spans="1:11" x14ac:dyDescent="0.3">
      <c r="A55" t="s">
        <v>4</v>
      </c>
      <c r="B55">
        <v>2001</v>
      </c>
      <c r="C55">
        <v>2</v>
      </c>
      <c r="D55">
        <v>0</v>
      </c>
      <c r="E55">
        <v>0</v>
      </c>
      <c r="F55">
        <v>761.39</v>
      </c>
    </row>
    <row r="56" spans="1:11" x14ac:dyDescent="0.3">
      <c r="A56" t="s">
        <v>4</v>
      </c>
      <c r="B56">
        <v>2001</v>
      </c>
      <c r="C56">
        <v>3</v>
      </c>
      <c r="D56">
        <v>0</v>
      </c>
      <c r="E56">
        <v>0</v>
      </c>
      <c r="F56">
        <v>775.68</v>
      </c>
    </row>
    <row r="57" spans="1:11" x14ac:dyDescent="0.3">
      <c r="A57" t="s">
        <v>4</v>
      </c>
      <c r="B57">
        <v>12</v>
      </c>
      <c r="C57">
        <v>1</v>
      </c>
      <c r="D57">
        <v>4021067.8818359398</v>
      </c>
      <c r="E57">
        <v>0</v>
      </c>
      <c r="F57">
        <v>790.54</v>
      </c>
      <c r="G57" t="s">
        <v>7</v>
      </c>
      <c r="H57">
        <v>3</v>
      </c>
      <c r="I57">
        <f t="shared" ref="I57:J59" si="8">D57/(C57+D57)</f>
        <v>0.99999975130990559</v>
      </c>
      <c r="J57" s="6">
        <f t="shared" si="8"/>
        <v>0</v>
      </c>
      <c r="K57" s="2">
        <f>(J57*$N$3)/$N$2</f>
        <v>0</v>
      </c>
    </row>
    <row r="58" spans="1:11" x14ac:dyDescent="0.3">
      <c r="A58" t="s">
        <v>4</v>
      </c>
      <c r="B58">
        <v>12</v>
      </c>
      <c r="C58">
        <v>3</v>
      </c>
      <c r="D58">
        <v>4004736.5214843801</v>
      </c>
      <c r="E58">
        <v>0</v>
      </c>
      <c r="F58">
        <v>805.38</v>
      </c>
      <c r="G58" t="s">
        <v>7</v>
      </c>
      <c r="H58">
        <v>3</v>
      </c>
      <c r="I58">
        <f t="shared" si="8"/>
        <v>0.99999925088760855</v>
      </c>
      <c r="J58" s="6">
        <f t="shared" si="8"/>
        <v>0</v>
      </c>
      <c r="K58" s="2">
        <f>(J58*$N$3)/$N$2</f>
        <v>0</v>
      </c>
    </row>
    <row r="59" spans="1:11" x14ac:dyDescent="0.3">
      <c r="A59" t="s">
        <v>4</v>
      </c>
      <c r="B59">
        <v>12</v>
      </c>
      <c r="C59">
        <v>5</v>
      </c>
      <c r="D59">
        <v>3906270.2050781301</v>
      </c>
      <c r="E59">
        <v>0</v>
      </c>
      <c r="F59">
        <v>820.32</v>
      </c>
      <c r="G59" t="s">
        <v>7</v>
      </c>
      <c r="H59">
        <v>3</v>
      </c>
      <c r="I59">
        <f t="shared" si="8"/>
        <v>0.99999872000825918</v>
      </c>
      <c r="J59" s="6">
        <f t="shared" si="8"/>
        <v>0</v>
      </c>
      <c r="K59" s="2">
        <f>(J59*$N$3)/$N$2</f>
        <v>0</v>
      </c>
    </row>
    <row r="60" spans="1:11" x14ac:dyDescent="0.3">
      <c r="A60" t="s">
        <v>4</v>
      </c>
      <c r="B60">
        <v>2001</v>
      </c>
      <c r="C60">
        <v>2</v>
      </c>
      <c r="D60">
        <v>0</v>
      </c>
      <c r="E60">
        <v>0</v>
      </c>
      <c r="F60">
        <v>834.64</v>
      </c>
    </row>
    <row r="61" spans="1:11" x14ac:dyDescent="0.3">
      <c r="A61" t="s">
        <v>4</v>
      </c>
      <c r="B61">
        <v>2001</v>
      </c>
      <c r="C61">
        <v>3</v>
      </c>
      <c r="D61">
        <v>0</v>
      </c>
      <c r="E61">
        <v>0</v>
      </c>
      <c r="F61">
        <v>848.87</v>
      </c>
    </row>
    <row r="62" spans="1:11" x14ac:dyDescent="0.3">
      <c r="A62" t="s">
        <v>4</v>
      </c>
      <c r="B62">
        <v>12</v>
      </c>
      <c r="C62">
        <v>7</v>
      </c>
      <c r="D62">
        <v>4296533.9394531297</v>
      </c>
      <c r="E62">
        <v>105708.465332031</v>
      </c>
      <c r="F62">
        <v>863.86</v>
      </c>
      <c r="G62" t="s">
        <v>6</v>
      </c>
      <c r="H62">
        <v>3</v>
      </c>
      <c r="I62">
        <f t="shared" ref="I62:I64" si="9">(D62/C62+D62)</f>
        <v>4910324.5022321483</v>
      </c>
      <c r="J62" s="6">
        <f>E62/(D62+E62)</f>
        <v>2.401241358656846E-2</v>
      </c>
      <c r="K62" s="2">
        <f>(J62*$N$3)/$N$2</f>
        <v>7.8301348651853675E-2</v>
      </c>
    </row>
    <row r="63" spans="1:11" x14ac:dyDescent="0.3">
      <c r="A63" t="s">
        <v>4</v>
      </c>
      <c r="B63">
        <v>12</v>
      </c>
      <c r="C63">
        <v>9</v>
      </c>
      <c r="D63">
        <v>3857998.26708984</v>
      </c>
      <c r="E63">
        <v>230142.091796875</v>
      </c>
      <c r="F63">
        <v>878.73</v>
      </c>
      <c r="G63" t="s">
        <v>6</v>
      </c>
      <c r="H63">
        <v>3</v>
      </c>
      <c r="I63">
        <f t="shared" si="9"/>
        <v>4286664.7412109338</v>
      </c>
      <c r="J63" s="6">
        <f>E63/(D63+E63)</f>
        <v>5.6295056332054956E-2</v>
      </c>
      <c r="K63" s="2">
        <f>(J63*$N$3)/$N$2</f>
        <v>0.18357083586539658</v>
      </c>
    </row>
    <row r="64" spans="1:11" x14ac:dyDescent="0.3">
      <c r="A64" t="s">
        <v>4</v>
      </c>
      <c r="B64">
        <v>12</v>
      </c>
      <c r="C64">
        <v>11</v>
      </c>
      <c r="D64">
        <v>4012114.99365234</v>
      </c>
      <c r="E64">
        <v>202895.783203125</v>
      </c>
      <c r="F64">
        <v>893.59</v>
      </c>
      <c r="G64" t="s">
        <v>6</v>
      </c>
      <c r="H64">
        <v>3</v>
      </c>
      <c r="I64">
        <f t="shared" si="9"/>
        <v>4376852.720348007</v>
      </c>
      <c r="J64" s="6">
        <f>E64/(D64+E64)</f>
        <v>4.813648029495475E-2</v>
      </c>
      <c r="K64" s="2">
        <f>(J64*$N$3)/$N$2</f>
        <v>0.15696678357050461</v>
      </c>
    </row>
    <row r="65" spans="1:11" x14ac:dyDescent="0.3">
      <c r="A65" t="s">
        <v>4</v>
      </c>
      <c r="B65">
        <v>2001</v>
      </c>
      <c r="C65">
        <v>2</v>
      </c>
      <c r="D65">
        <v>0</v>
      </c>
      <c r="E65">
        <v>0</v>
      </c>
      <c r="F65">
        <v>908.06</v>
      </c>
    </row>
    <row r="66" spans="1:11" x14ac:dyDescent="0.3">
      <c r="A66" t="s">
        <v>4</v>
      </c>
      <c r="B66">
        <v>2001</v>
      </c>
      <c r="C66">
        <v>3</v>
      </c>
      <c r="D66">
        <v>0</v>
      </c>
      <c r="E66">
        <v>0</v>
      </c>
      <c r="F66">
        <v>922.25</v>
      </c>
    </row>
    <row r="67" spans="1:11" x14ac:dyDescent="0.3">
      <c r="A67" t="s">
        <v>4</v>
      </c>
      <c r="B67">
        <v>2001</v>
      </c>
      <c r="C67">
        <v>2</v>
      </c>
      <c r="D67">
        <v>0</v>
      </c>
      <c r="E67">
        <v>0</v>
      </c>
      <c r="F67">
        <v>936.58</v>
      </c>
    </row>
    <row r="68" spans="1:11" x14ac:dyDescent="0.3">
      <c r="A68" t="s">
        <v>4</v>
      </c>
      <c r="B68">
        <v>2001</v>
      </c>
      <c r="C68">
        <v>3</v>
      </c>
      <c r="D68">
        <v>0</v>
      </c>
      <c r="E68">
        <v>0</v>
      </c>
      <c r="F68">
        <v>950.79</v>
      </c>
    </row>
    <row r="69" spans="1:11" x14ac:dyDescent="0.3">
      <c r="A69" t="s">
        <v>4</v>
      </c>
      <c r="B69">
        <v>11</v>
      </c>
      <c r="C69">
        <v>1</v>
      </c>
      <c r="D69">
        <v>4015375.6191406301</v>
      </c>
      <c r="E69">
        <v>0</v>
      </c>
      <c r="F69">
        <v>965.79</v>
      </c>
      <c r="G69" t="s">
        <v>7</v>
      </c>
      <c r="H69">
        <v>5</v>
      </c>
      <c r="I69">
        <f t="shared" ref="I69:J71" si="10">D69/(C69+D69)</f>
        <v>0.99999975095735849</v>
      </c>
      <c r="J69" s="6">
        <f t="shared" si="10"/>
        <v>0</v>
      </c>
      <c r="K69" s="2">
        <f>(J69*$N$3)/$N$2</f>
        <v>0</v>
      </c>
    </row>
    <row r="70" spans="1:11" x14ac:dyDescent="0.3">
      <c r="A70" t="s">
        <v>4</v>
      </c>
      <c r="B70">
        <v>11</v>
      </c>
      <c r="C70">
        <v>3</v>
      </c>
      <c r="D70">
        <v>3706142.2285156301</v>
      </c>
      <c r="E70">
        <v>0</v>
      </c>
      <c r="F70">
        <v>980.64</v>
      </c>
      <c r="G70" t="s">
        <v>7</v>
      </c>
      <c r="H70">
        <v>5</v>
      </c>
      <c r="I70">
        <f t="shared" si="10"/>
        <v>0.99999919053360975</v>
      </c>
      <c r="J70" s="6">
        <f t="shared" si="10"/>
        <v>0</v>
      </c>
      <c r="K70" s="2">
        <f>(J70*$N$3)/$N$2</f>
        <v>0</v>
      </c>
    </row>
    <row r="71" spans="1:11" x14ac:dyDescent="0.3">
      <c r="A71" t="s">
        <v>4</v>
      </c>
      <c r="B71">
        <v>11</v>
      </c>
      <c r="C71">
        <v>5</v>
      </c>
      <c r="D71">
        <v>3776355.51953125</v>
      </c>
      <c r="E71">
        <v>0</v>
      </c>
      <c r="F71">
        <v>995.48</v>
      </c>
      <c r="G71" t="s">
        <v>7</v>
      </c>
      <c r="H71">
        <v>5</v>
      </c>
      <c r="I71">
        <f t="shared" si="10"/>
        <v>0.99999867597387115</v>
      </c>
      <c r="J71" s="6">
        <f t="shared" si="10"/>
        <v>0</v>
      </c>
      <c r="K71" s="2">
        <f>(J71*$N$3)/$N$2</f>
        <v>0</v>
      </c>
    </row>
    <row r="72" spans="1:11" x14ac:dyDescent="0.3">
      <c r="A72" t="s">
        <v>4</v>
      </c>
      <c r="B72">
        <v>2001</v>
      </c>
      <c r="C72">
        <v>2</v>
      </c>
      <c r="D72">
        <v>0</v>
      </c>
      <c r="E72">
        <v>0</v>
      </c>
      <c r="F72">
        <v>1009.91</v>
      </c>
    </row>
    <row r="73" spans="1:11" x14ac:dyDescent="0.3">
      <c r="A73" t="s">
        <v>4</v>
      </c>
      <c r="B73">
        <v>2001</v>
      </c>
      <c r="C73">
        <v>3</v>
      </c>
      <c r="D73">
        <v>0</v>
      </c>
      <c r="E73">
        <v>0</v>
      </c>
      <c r="F73">
        <v>1024.1099999999999</v>
      </c>
    </row>
    <row r="74" spans="1:11" x14ac:dyDescent="0.3">
      <c r="A74" t="s">
        <v>4</v>
      </c>
      <c r="B74">
        <v>11</v>
      </c>
      <c r="C74">
        <v>7</v>
      </c>
      <c r="D74">
        <v>4373048.8535156297</v>
      </c>
      <c r="E74">
        <v>203218.236328125</v>
      </c>
      <c r="F74">
        <v>1039.08</v>
      </c>
      <c r="G74" t="s">
        <v>6</v>
      </c>
      <c r="H74">
        <v>5</v>
      </c>
      <c r="I74">
        <f t="shared" ref="I74:I76" si="11">(D74/C74+D74)</f>
        <v>4997770.1183035765</v>
      </c>
      <c r="J74" s="6">
        <f>E74/(D74+E74)</f>
        <v>4.440698769071702E-2</v>
      </c>
      <c r="K74" s="2">
        <f>(J74*$N$3)/$N$2</f>
        <v>0.14480539464364245</v>
      </c>
    </row>
    <row r="75" spans="1:11" x14ac:dyDescent="0.3">
      <c r="A75" t="s">
        <v>4</v>
      </c>
      <c r="B75">
        <v>11</v>
      </c>
      <c r="C75">
        <v>9</v>
      </c>
      <c r="D75">
        <v>3402717.00390625</v>
      </c>
      <c r="E75">
        <v>340605.19921875</v>
      </c>
      <c r="F75">
        <v>1053.92</v>
      </c>
      <c r="G75" t="s">
        <v>6</v>
      </c>
      <c r="H75">
        <v>5</v>
      </c>
      <c r="I75">
        <f t="shared" si="11"/>
        <v>3780796.6710069445</v>
      </c>
      <c r="J75" s="6">
        <f>E75/(D75+E75)</f>
        <v>9.099008333677662E-2</v>
      </c>
      <c r="K75" s="2">
        <f>(J75*$N$3)/$N$2</f>
        <v>0.29670679348948897</v>
      </c>
    </row>
    <row r="76" spans="1:11" x14ac:dyDescent="0.3">
      <c r="A76" t="s">
        <v>4</v>
      </c>
      <c r="B76">
        <v>11</v>
      </c>
      <c r="C76">
        <v>11</v>
      </c>
      <c r="D76">
        <v>3621589.78515625</v>
      </c>
      <c r="E76">
        <v>310362.1328125</v>
      </c>
      <c r="F76">
        <v>1068.75</v>
      </c>
      <c r="G76" t="s">
        <v>6</v>
      </c>
      <c r="H76">
        <v>5</v>
      </c>
      <c r="I76">
        <f t="shared" si="11"/>
        <v>3950825.2201704546</v>
      </c>
      <c r="J76" s="6">
        <f>E76/(D76+E76)</f>
        <v>7.8933348954285623E-2</v>
      </c>
      <c r="K76" s="2">
        <f>(J76*$N$3)/$N$2</f>
        <v>0.257391355285714</v>
      </c>
    </row>
    <row r="77" spans="1:11" x14ac:dyDescent="0.3">
      <c r="A77" t="s">
        <v>4</v>
      </c>
      <c r="B77">
        <v>2001</v>
      </c>
      <c r="C77">
        <v>2</v>
      </c>
      <c r="D77">
        <v>0</v>
      </c>
      <c r="E77">
        <v>0</v>
      </c>
      <c r="F77">
        <v>1083.19</v>
      </c>
    </row>
    <row r="78" spans="1:11" x14ac:dyDescent="0.3">
      <c r="A78" t="s">
        <v>4</v>
      </c>
      <c r="B78">
        <v>2001</v>
      </c>
      <c r="C78">
        <v>3</v>
      </c>
      <c r="D78">
        <v>0</v>
      </c>
      <c r="E78">
        <v>0</v>
      </c>
      <c r="F78">
        <v>1097.3900000000001</v>
      </c>
    </row>
    <row r="79" spans="1:11" x14ac:dyDescent="0.3">
      <c r="A79" t="s">
        <v>4</v>
      </c>
      <c r="B79">
        <v>2001</v>
      </c>
      <c r="C79">
        <v>2</v>
      </c>
      <c r="D79">
        <v>0</v>
      </c>
      <c r="E79">
        <v>0</v>
      </c>
      <c r="F79">
        <v>1111.8499999999999</v>
      </c>
    </row>
    <row r="80" spans="1:11" x14ac:dyDescent="0.3">
      <c r="A80" t="s">
        <v>4</v>
      </c>
      <c r="B80">
        <v>2001</v>
      </c>
      <c r="C80">
        <v>3</v>
      </c>
      <c r="D80">
        <v>0</v>
      </c>
      <c r="E80">
        <v>0</v>
      </c>
      <c r="F80">
        <v>1126</v>
      </c>
    </row>
    <row r="81" spans="1:11" x14ac:dyDescent="0.3">
      <c r="A81" t="s">
        <v>4</v>
      </c>
      <c r="B81">
        <v>10</v>
      </c>
      <c r="C81">
        <v>1</v>
      </c>
      <c r="D81">
        <v>3832204.2890625</v>
      </c>
      <c r="E81">
        <v>0</v>
      </c>
      <c r="F81">
        <v>1140.95</v>
      </c>
      <c r="G81" t="s">
        <v>7</v>
      </c>
      <c r="H81">
        <v>10</v>
      </c>
      <c r="I81">
        <f t="shared" ref="I81:J83" si="12">D81/(C81+D81)</f>
        <v>0.99999973905364548</v>
      </c>
      <c r="J81" s="6">
        <f t="shared" si="12"/>
        <v>0</v>
      </c>
      <c r="K81" s="2">
        <f>(J81*$N$3)/$N$2</f>
        <v>0</v>
      </c>
    </row>
    <row r="82" spans="1:11" x14ac:dyDescent="0.3">
      <c r="A82" t="s">
        <v>4</v>
      </c>
      <c r="B82">
        <v>10</v>
      </c>
      <c r="C82">
        <v>3</v>
      </c>
      <c r="D82">
        <v>3627055.4912109398</v>
      </c>
      <c r="E82">
        <v>0</v>
      </c>
      <c r="F82">
        <v>1155.93</v>
      </c>
      <c r="G82" t="s">
        <v>7</v>
      </c>
      <c r="H82">
        <v>10</v>
      </c>
      <c r="I82">
        <f t="shared" si="12"/>
        <v>0.99999917288347917</v>
      </c>
      <c r="J82" s="6">
        <f t="shared" si="12"/>
        <v>0</v>
      </c>
      <c r="K82" s="2">
        <f>(J82*$N$3)/$N$2</f>
        <v>0</v>
      </c>
    </row>
    <row r="83" spans="1:11" x14ac:dyDescent="0.3">
      <c r="A83" t="s">
        <v>4</v>
      </c>
      <c r="B83">
        <v>10</v>
      </c>
      <c r="C83">
        <v>5</v>
      </c>
      <c r="D83">
        <v>3870775.734375</v>
      </c>
      <c r="E83">
        <v>0</v>
      </c>
      <c r="F83">
        <v>1170.75</v>
      </c>
      <c r="G83" t="s">
        <v>7</v>
      </c>
      <c r="H83">
        <v>10</v>
      </c>
      <c r="I83">
        <f t="shared" si="12"/>
        <v>0.99999870827092951</v>
      </c>
      <c r="J83" s="6">
        <f>E83/(D83+E83)</f>
        <v>0</v>
      </c>
      <c r="K83" s="2">
        <f>(J83*$N$3)/$N$2</f>
        <v>0</v>
      </c>
    </row>
    <row r="84" spans="1:11" x14ac:dyDescent="0.3">
      <c r="A84" t="s">
        <v>4</v>
      </c>
      <c r="B84">
        <v>2001</v>
      </c>
      <c r="C84">
        <v>2</v>
      </c>
      <c r="D84">
        <v>0</v>
      </c>
      <c r="E84">
        <v>0</v>
      </c>
      <c r="F84">
        <v>1185.18</v>
      </c>
    </row>
    <row r="85" spans="1:11" x14ac:dyDescent="0.3">
      <c r="A85" t="s">
        <v>4</v>
      </c>
      <c r="B85">
        <v>2001</v>
      </c>
      <c r="C85">
        <v>3</v>
      </c>
      <c r="D85">
        <v>0</v>
      </c>
      <c r="E85">
        <v>0</v>
      </c>
      <c r="F85">
        <v>1199.27</v>
      </c>
    </row>
    <row r="86" spans="1:11" x14ac:dyDescent="0.3">
      <c r="A86" t="s">
        <v>4</v>
      </c>
      <c r="B86">
        <v>10</v>
      </c>
      <c r="C86">
        <v>7</v>
      </c>
      <c r="D86">
        <v>4300649.8339843797</v>
      </c>
      <c r="E86">
        <v>405172.42822265602</v>
      </c>
      <c r="F86">
        <v>1214.28</v>
      </c>
      <c r="G86" t="s">
        <v>6</v>
      </c>
      <c r="H86">
        <v>10</v>
      </c>
      <c r="I86">
        <f t="shared" ref="I86:I88" si="13">(D86/C86+D86)</f>
        <v>4915028.3816964338</v>
      </c>
      <c r="J86" s="6">
        <f>E86/(D86+E86)</f>
        <v>8.6100240435479106E-2</v>
      </c>
      <c r="K86" s="2">
        <f>(J86*$N$3)/$N$2</f>
        <v>0.28076165359395361</v>
      </c>
    </row>
    <row r="87" spans="1:11" x14ac:dyDescent="0.3">
      <c r="A87" t="s">
        <v>4</v>
      </c>
      <c r="B87">
        <v>10</v>
      </c>
      <c r="C87">
        <v>9</v>
      </c>
      <c r="D87">
        <v>3246009.0122070299</v>
      </c>
      <c r="E87">
        <v>617991.0390625</v>
      </c>
      <c r="F87">
        <v>1228.9000000000001</v>
      </c>
      <c r="G87" t="s">
        <v>6</v>
      </c>
      <c r="H87">
        <v>10</v>
      </c>
      <c r="I87">
        <f t="shared" si="13"/>
        <v>3606676.6802300331</v>
      </c>
      <c r="J87" s="6">
        <f>E87/(D87+E87)</f>
        <v>0.15993556699344685</v>
      </c>
      <c r="K87" s="2">
        <f>(J87*$N$3)/$N$2</f>
        <v>0.52152902280471802</v>
      </c>
    </row>
    <row r="88" spans="1:11" x14ac:dyDescent="0.3">
      <c r="A88" t="s">
        <v>4</v>
      </c>
      <c r="B88">
        <v>10</v>
      </c>
      <c r="C88">
        <v>11</v>
      </c>
      <c r="D88">
        <v>3370918.5810546898</v>
      </c>
      <c r="E88">
        <v>579481.0078125</v>
      </c>
      <c r="F88">
        <v>1243.58</v>
      </c>
      <c r="G88" t="s">
        <v>6</v>
      </c>
      <c r="H88">
        <v>10</v>
      </c>
      <c r="I88">
        <f t="shared" si="13"/>
        <v>3677365.7247869344</v>
      </c>
      <c r="J88" s="6">
        <f>E88/(D88+E88)</f>
        <v>0.14668921327492115</v>
      </c>
      <c r="K88" s="2">
        <f>(J88*$N$3)/$N$2</f>
        <v>0.47833439111387333</v>
      </c>
    </row>
    <row r="89" spans="1:11" x14ac:dyDescent="0.3">
      <c r="A89" t="s">
        <v>4</v>
      </c>
      <c r="B89">
        <v>2001</v>
      </c>
      <c r="C89">
        <v>2</v>
      </c>
      <c r="D89">
        <v>0</v>
      </c>
      <c r="E89">
        <v>0</v>
      </c>
      <c r="F89">
        <v>1258.01</v>
      </c>
    </row>
    <row r="90" spans="1:11" x14ac:dyDescent="0.3">
      <c r="A90" t="s">
        <v>4</v>
      </c>
      <c r="B90">
        <v>2001</v>
      </c>
      <c r="C90">
        <v>3</v>
      </c>
      <c r="D90">
        <v>0</v>
      </c>
      <c r="E90">
        <v>0</v>
      </c>
      <c r="F90">
        <v>1272.19</v>
      </c>
    </row>
    <row r="91" spans="1:11" x14ac:dyDescent="0.3">
      <c r="A91" t="s">
        <v>4</v>
      </c>
      <c r="B91">
        <v>2001</v>
      </c>
      <c r="C91">
        <v>2</v>
      </c>
      <c r="D91">
        <v>0</v>
      </c>
      <c r="E91">
        <v>0</v>
      </c>
      <c r="F91">
        <v>1286.6500000000001</v>
      </c>
    </row>
    <row r="92" spans="1:11" x14ac:dyDescent="0.3">
      <c r="A92" t="s">
        <v>4</v>
      </c>
      <c r="B92">
        <v>2001</v>
      </c>
      <c r="C92">
        <v>3</v>
      </c>
      <c r="D92">
        <v>0</v>
      </c>
      <c r="E92">
        <v>0</v>
      </c>
      <c r="F92">
        <v>1300.8499999999999</v>
      </c>
    </row>
    <row r="93" spans="1:11" x14ac:dyDescent="0.3">
      <c r="A93" t="s">
        <v>4</v>
      </c>
      <c r="B93">
        <v>9</v>
      </c>
      <c r="C93">
        <v>1</v>
      </c>
      <c r="D93">
        <v>2145998.0332031301</v>
      </c>
      <c r="E93">
        <v>0</v>
      </c>
      <c r="F93">
        <v>1315.81</v>
      </c>
      <c r="G93" t="s">
        <v>7</v>
      </c>
      <c r="H93">
        <v>20</v>
      </c>
      <c r="I93">
        <f t="shared" ref="I93:J95" si="14">D93/(C93+D93)</f>
        <v>0.99999953401656549</v>
      </c>
      <c r="J93" s="6">
        <f t="shared" si="14"/>
        <v>0</v>
      </c>
      <c r="K93" s="2">
        <f>(J93*$N$3)/$N$2</f>
        <v>0</v>
      </c>
    </row>
    <row r="94" spans="1:11" x14ac:dyDescent="0.3">
      <c r="A94" t="s">
        <v>4</v>
      </c>
      <c r="B94">
        <v>9</v>
      </c>
      <c r="C94">
        <v>3</v>
      </c>
      <c r="D94">
        <v>2122150.7221679701</v>
      </c>
      <c r="E94">
        <v>0</v>
      </c>
      <c r="F94">
        <v>1330.64</v>
      </c>
      <c r="G94" t="s">
        <v>7</v>
      </c>
      <c r="H94">
        <v>20</v>
      </c>
      <c r="I94">
        <f t="shared" si="14"/>
        <v>0.99999858634180516</v>
      </c>
      <c r="J94" s="6">
        <f t="shared" si="14"/>
        <v>0</v>
      </c>
      <c r="K94" s="2">
        <f>(J94*$N$3)/$N$2</f>
        <v>0</v>
      </c>
    </row>
    <row r="95" spans="1:11" x14ac:dyDescent="0.3">
      <c r="A95" t="s">
        <v>4</v>
      </c>
      <c r="B95">
        <v>9</v>
      </c>
      <c r="C95">
        <v>5</v>
      </c>
      <c r="D95">
        <v>2180459.3466796898</v>
      </c>
      <c r="E95">
        <v>0</v>
      </c>
      <c r="F95">
        <v>1345.64</v>
      </c>
      <c r="G95" t="s">
        <v>7</v>
      </c>
      <c r="H95">
        <v>20</v>
      </c>
      <c r="I95">
        <f t="shared" si="14"/>
        <v>0.99999770691045342</v>
      </c>
      <c r="J95" s="6">
        <f t="shared" si="14"/>
        <v>0</v>
      </c>
      <c r="K95" s="2">
        <f>(J95*$N$3)/$N$2</f>
        <v>0</v>
      </c>
    </row>
    <row r="96" spans="1:11" x14ac:dyDescent="0.3">
      <c r="A96" t="s">
        <v>4</v>
      </c>
      <c r="B96">
        <v>2001</v>
      </c>
      <c r="C96">
        <v>2</v>
      </c>
      <c r="D96">
        <v>0</v>
      </c>
      <c r="E96">
        <v>0</v>
      </c>
      <c r="F96">
        <v>1359.99</v>
      </c>
    </row>
    <row r="97" spans="1:11" x14ac:dyDescent="0.3">
      <c r="A97" t="s">
        <v>4</v>
      </c>
      <c r="B97">
        <v>2001</v>
      </c>
      <c r="C97">
        <v>3</v>
      </c>
      <c r="D97">
        <v>0</v>
      </c>
      <c r="E97">
        <v>0</v>
      </c>
      <c r="F97">
        <v>1374.17</v>
      </c>
    </row>
    <row r="98" spans="1:11" x14ac:dyDescent="0.3">
      <c r="A98" t="s">
        <v>4</v>
      </c>
      <c r="B98">
        <v>9</v>
      </c>
      <c r="C98">
        <v>7</v>
      </c>
      <c r="D98">
        <v>2188223.62109375</v>
      </c>
      <c r="E98">
        <v>458290.650390625</v>
      </c>
      <c r="F98">
        <v>1389.15</v>
      </c>
      <c r="G98" t="s">
        <v>6</v>
      </c>
      <c r="H98">
        <v>20</v>
      </c>
      <c r="I98">
        <f t="shared" ref="I98:J100" si="15">D98/(C98+D98)</f>
        <v>0.99999680106843747</v>
      </c>
      <c r="J98" s="6">
        <f t="shared" si="15"/>
        <v>0.173167647470716</v>
      </c>
      <c r="K98" s="2">
        <f>(J98*$N$3)/$N$2</f>
        <v>0.56467711131755216</v>
      </c>
    </row>
    <row r="99" spans="1:11" x14ac:dyDescent="0.3">
      <c r="A99" t="s">
        <v>4</v>
      </c>
      <c r="B99">
        <v>9</v>
      </c>
      <c r="C99">
        <v>9</v>
      </c>
      <c r="D99">
        <v>1668638.1435546901</v>
      </c>
      <c r="E99">
        <v>666947.427734375</v>
      </c>
      <c r="F99">
        <v>1404.02</v>
      </c>
      <c r="G99" t="s">
        <v>6</v>
      </c>
      <c r="H99">
        <v>20</v>
      </c>
      <c r="I99">
        <f t="shared" si="15"/>
        <v>0.99999460640912918</v>
      </c>
      <c r="J99" s="6">
        <f t="shared" si="15"/>
        <v>0.28555897755708037</v>
      </c>
      <c r="K99" s="2">
        <f>(J99*$N$3)/$N$2</f>
        <v>0.9311705789904795</v>
      </c>
    </row>
    <row r="100" spans="1:11" x14ac:dyDescent="0.3">
      <c r="A100" t="s">
        <v>4</v>
      </c>
      <c r="B100">
        <v>9</v>
      </c>
      <c r="C100">
        <v>11</v>
      </c>
      <c r="D100">
        <v>1801498.7441406299</v>
      </c>
      <c r="E100">
        <v>628383.44091796898</v>
      </c>
      <c r="F100">
        <v>1418.72</v>
      </c>
      <c r="G100" t="s">
        <v>6</v>
      </c>
      <c r="H100">
        <v>20</v>
      </c>
      <c r="I100">
        <f t="shared" si="15"/>
        <v>0.99999389401026795</v>
      </c>
      <c r="J100" s="6">
        <f t="shared" si="15"/>
        <v>0.25860654676260153</v>
      </c>
      <c r="K100" s="2">
        <f>(J100*$N$3)/$N$2</f>
        <v>0.84328221770413536</v>
      </c>
    </row>
    <row r="101" spans="1:11" x14ac:dyDescent="0.3">
      <c r="A101" t="s">
        <v>4</v>
      </c>
      <c r="B101">
        <v>2001</v>
      </c>
      <c r="C101">
        <v>2</v>
      </c>
      <c r="D101">
        <v>0</v>
      </c>
      <c r="E101">
        <v>0</v>
      </c>
      <c r="F101">
        <v>1433.05</v>
      </c>
    </row>
    <row r="102" spans="1:11" x14ac:dyDescent="0.3">
      <c r="A102" t="s">
        <v>4</v>
      </c>
      <c r="B102">
        <v>2001</v>
      </c>
      <c r="C102">
        <v>3</v>
      </c>
      <c r="D102">
        <v>0</v>
      </c>
      <c r="E102">
        <v>0</v>
      </c>
      <c r="F102">
        <v>1447.26</v>
      </c>
    </row>
    <row r="103" spans="1:11" x14ac:dyDescent="0.3">
      <c r="A103" t="s">
        <v>4</v>
      </c>
      <c r="B103">
        <v>2001</v>
      </c>
      <c r="C103">
        <v>2</v>
      </c>
      <c r="D103">
        <v>0</v>
      </c>
      <c r="E103">
        <v>0</v>
      </c>
      <c r="F103">
        <v>1461.73</v>
      </c>
    </row>
    <row r="104" spans="1:11" x14ac:dyDescent="0.3">
      <c r="A104" t="s">
        <v>4</v>
      </c>
      <c r="B104">
        <v>2001</v>
      </c>
      <c r="C104">
        <v>3</v>
      </c>
      <c r="D104">
        <v>0</v>
      </c>
      <c r="E104">
        <v>0</v>
      </c>
      <c r="F104">
        <v>1475.88</v>
      </c>
    </row>
    <row r="105" spans="1:11" x14ac:dyDescent="0.3">
      <c r="A105" t="s">
        <v>4</v>
      </c>
      <c r="B105">
        <v>2001</v>
      </c>
      <c r="C105">
        <v>2</v>
      </c>
      <c r="D105">
        <v>0</v>
      </c>
      <c r="E105">
        <v>0</v>
      </c>
      <c r="F105">
        <v>1490.34</v>
      </c>
    </row>
    <row r="106" spans="1:11" x14ac:dyDescent="0.3">
      <c r="A106" t="s">
        <v>4</v>
      </c>
      <c r="B106">
        <v>2001</v>
      </c>
      <c r="C106">
        <v>3</v>
      </c>
      <c r="D106">
        <v>0</v>
      </c>
      <c r="E106">
        <v>0</v>
      </c>
      <c r="F106">
        <v>1504.44</v>
      </c>
    </row>
    <row r="107" spans="1:11" x14ac:dyDescent="0.3">
      <c r="A107" t="s">
        <v>4</v>
      </c>
      <c r="B107">
        <v>8</v>
      </c>
      <c r="C107">
        <v>1</v>
      </c>
      <c r="D107">
        <v>3318905.9375</v>
      </c>
      <c r="E107">
        <v>0</v>
      </c>
      <c r="F107">
        <v>1519.3</v>
      </c>
      <c r="G107" t="s">
        <v>7</v>
      </c>
      <c r="H107">
        <v>40</v>
      </c>
      <c r="I107">
        <f t="shared" ref="I107:J109" si="16">D107/(C107+D107)</f>
        <v>0.99999969869598071</v>
      </c>
      <c r="J107" s="6">
        <f t="shared" si="16"/>
        <v>0</v>
      </c>
      <c r="K107" s="2">
        <f>(J107*$N$3)/$N$2</f>
        <v>0</v>
      </c>
    </row>
    <row r="108" spans="1:11" x14ac:dyDescent="0.3">
      <c r="A108" t="s">
        <v>4</v>
      </c>
      <c r="B108">
        <v>8</v>
      </c>
      <c r="C108">
        <v>3</v>
      </c>
      <c r="D108">
        <v>3450400.796875</v>
      </c>
      <c r="E108">
        <v>0</v>
      </c>
      <c r="F108">
        <v>1534.14</v>
      </c>
      <c r="G108" t="s">
        <v>7</v>
      </c>
      <c r="H108">
        <v>40</v>
      </c>
      <c r="I108">
        <f t="shared" si="16"/>
        <v>0.99999913053654688</v>
      </c>
      <c r="J108" s="6">
        <f t="shared" si="16"/>
        <v>0</v>
      </c>
      <c r="K108" s="2">
        <f>(J108*$N$3)/$N$2</f>
        <v>0</v>
      </c>
    </row>
    <row r="109" spans="1:11" x14ac:dyDescent="0.3">
      <c r="A109" t="s">
        <v>4</v>
      </c>
      <c r="B109">
        <v>8</v>
      </c>
      <c r="C109">
        <v>5</v>
      </c>
      <c r="D109">
        <v>3428856.828125</v>
      </c>
      <c r="E109">
        <v>0</v>
      </c>
      <c r="F109">
        <v>1549.11</v>
      </c>
      <c r="G109" t="s">
        <v>7</v>
      </c>
      <c r="H109">
        <v>40</v>
      </c>
      <c r="I109">
        <f t="shared" si="16"/>
        <v>0.99999854179017689</v>
      </c>
      <c r="J109" s="6">
        <f t="shared" si="16"/>
        <v>0</v>
      </c>
      <c r="K109" s="2">
        <f>(J109*$N$3)/$N$2</f>
        <v>0</v>
      </c>
    </row>
    <row r="110" spans="1:11" x14ac:dyDescent="0.3">
      <c r="A110" t="s">
        <v>4</v>
      </c>
      <c r="B110">
        <v>2001</v>
      </c>
      <c r="C110">
        <v>2</v>
      </c>
      <c r="D110">
        <v>0</v>
      </c>
      <c r="E110">
        <v>0</v>
      </c>
      <c r="F110">
        <v>1563.58</v>
      </c>
    </row>
    <row r="111" spans="1:11" x14ac:dyDescent="0.3">
      <c r="A111" t="s">
        <v>4</v>
      </c>
      <c r="B111">
        <v>2001</v>
      </c>
      <c r="C111">
        <v>3</v>
      </c>
      <c r="D111">
        <v>0</v>
      </c>
      <c r="E111">
        <v>0</v>
      </c>
      <c r="F111">
        <v>1577.76</v>
      </c>
    </row>
    <row r="112" spans="1:11" x14ac:dyDescent="0.3">
      <c r="A112" t="s">
        <v>4</v>
      </c>
      <c r="B112">
        <v>2001</v>
      </c>
      <c r="C112">
        <v>2</v>
      </c>
      <c r="D112">
        <v>0</v>
      </c>
      <c r="E112">
        <v>0</v>
      </c>
      <c r="F112">
        <v>1592.08</v>
      </c>
    </row>
    <row r="113" spans="1:11" x14ac:dyDescent="0.3">
      <c r="A113" t="s">
        <v>4</v>
      </c>
      <c r="B113">
        <v>2001</v>
      </c>
      <c r="C113">
        <v>3</v>
      </c>
      <c r="D113">
        <v>0</v>
      </c>
      <c r="E113">
        <v>0</v>
      </c>
      <c r="F113">
        <v>1606.28</v>
      </c>
    </row>
    <row r="114" spans="1:11" x14ac:dyDescent="0.3">
      <c r="A114" t="s">
        <v>4</v>
      </c>
      <c r="B114">
        <v>8</v>
      </c>
      <c r="C114">
        <v>7</v>
      </c>
      <c r="D114">
        <v>2919270.3125</v>
      </c>
      <c r="E114">
        <v>1124231.703125</v>
      </c>
      <c r="F114">
        <v>1621.27</v>
      </c>
      <c r="G114" t="s">
        <v>6</v>
      </c>
      <c r="H114">
        <v>40</v>
      </c>
      <c r="I114">
        <f t="shared" ref="I114:J116" si="17">D114/(C114+D114)</f>
        <v>0.99999760214626754</v>
      </c>
      <c r="J114" s="6">
        <f t="shared" si="17"/>
        <v>0.27803416414304138</v>
      </c>
      <c r="K114" s="2">
        <f>(J114*$N$3)/$N$2</f>
        <v>0.90663314394470018</v>
      </c>
    </row>
    <row r="115" spans="1:11" x14ac:dyDescent="0.3">
      <c r="A115" t="s">
        <v>4</v>
      </c>
      <c r="B115">
        <v>8</v>
      </c>
      <c r="C115">
        <v>9</v>
      </c>
      <c r="D115">
        <v>1871134.2265625</v>
      </c>
      <c r="E115">
        <v>1592841.7089843799</v>
      </c>
      <c r="F115">
        <v>1636.02</v>
      </c>
      <c r="G115" t="s">
        <v>6</v>
      </c>
      <c r="H115">
        <v>40</v>
      </c>
      <c r="I115">
        <f t="shared" si="17"/>
        <v>0.99999519010630922</v>
      </c>
      <c r="J115" s="6">
        <f t="shared" si="17"/>
        <v>0.45983047764242274</v>
      </c>
      <c r="K115" s="2">
        <f>(J115*$N$3)/$N$2</f>
        <v>1.4994472097035525</v>
      </c>
    </row>
    <row r="116" spans="1:11" x14ac:dyDescent="0.3">
      <c r="A116" t="s">
        <v>4</v>
      </c>
      <c r="B116">
        <v>8</v>
      </c>
      <c r="C116">
        <v>11</v>
      </c>
      <c r="D116">
        <v>2085478.83984375</v>
      </c>
      <c r="E116">
        <v>1507648.5488281299</v>
      </c>
      <c r="F116">
        <v>1650.65</v>
      </c>
      <c r="G116" t="s">
        <v>6</v>
      </c>
      <c r="H116">
        <v>40</v>
      </c>
      <c r="I116">
        <f t="shared" si="17"/>
        <v>0.99999472545979851</v>
      </c>
      <c r="J116" s="6">
        <f t="shared" si="17"/>
        <v>0.41959228987575609</v>
      </c>
      <c r="K116" s="2">
        <f>(J116*$N$3)/$N$2</f>
        <v>1.3682357278557262</v>
      </c>
    </row>
    <row r="117" spans="1:11" x14ac:dyDescent="0.3">
      <c r="A117" t="s">
        <v>4</v>
      </c>
      <c r="B117">
        <v>2001</v>
      </c>
      <c r="C117">
        <v>2</v>
      </c>
      <c r="D117">
        <v>0</v>
      </c>
      <c r="E117">
        <v>0</v>
      </c>
      <c r="F117">
        <v>1664.99</v>
      </c>
    </row>
    <row r="118" spans="1:11" x14ac:dyDescent="0.3">
      <c r="A118" t="s">
        <v>4</v>
      </c>
      <c r="B118">
        <v>2001</v>
      </c>
      <c r="C118">
        <v>3</v>
      </c>
      <c r="D118">
        <v>0</v>
      </c>
      <c r="E118">
        <v>0</v>
      </c>
      <c r="F118">
        <v>1679.19</v>
      </c>
    </row>
    <row r="119" spans="1:11" x14ac:dyDescent="0.3">
      <c r="A119" t="s">
        <v>4</v>
      </c>
      <c r="B119">
        <v>2001</v>
      </c>
      <c r="C119">
        <v>2</v>
      </c>
      <c r="D119">
        <v>0</v>
      </c>
      <c r="E119">
        <v>0</v>
      </c>
      <c r="F119">
        <v>1693.66</v>
      </c>
    </row>
    <row r="120" spans="1:11" x14ac:dyDescent="0.3">
      <c r="A120" t="s">
        <v>4</v>
      </c>
      <c r="B120">
        <v>2001</v>
      </c>
      <c r="C120">
        <v>3</v>
      </c>
      <c r="D120">
        <v>0</v>
      </c>
      <c r="E120">
        <v>0</v>
      </c>
      <c r="F120">
        <v>1707.86</v>
      </c>
    </row>
    <row r="121" spans="1:11" x14ac:dyDescent="0.3">
      <c r="A121" t="s">
        <v>4</v>
      </c>
      <c r="B121">
        <v>7</v>
      </c>
      <c r="C121">
        <v>1</v>
      </c>
      <c r="D121">
        <v>3159927.6337890602</v>
      </c>
      <c r="E121">
        <v>0</v>
      </c>
      <c r="F121">
        <v>1722.82</v>
      </c>
      <c r="G121" t="s">
        <v>7</v>
      </c>
      <c r="H121">
        <v>60</v>
      </c>
      <c r="I121">
        <f t="shared" ref="I121:J123" si="18">D121/(C121+D121)</f>
        <v>0.99999968353715674</v>
      </c>
      <c r="J121" s="6">
        <f t="shared" si="18"/>
        <v>0</v>
      </c>
      <c r="K121" s="2">
        <f>(J121*$N$3)/$N$2</f>
        <v>0</v>
      </c>
    </row>
    <row r="122" spans="1:11" x14ac:dyDescent="0.3">
      <c r="A122" t="s">
        <v>4</v>
      </c>
      <c r="B122">
        <v>7</v>
      </c>
      <c r="C122">
        <v>3</v>
      </c>
      <c r="D122">
        <v>3162217.39990234</v>
      </c>
      <c r="E122">
        <v>0</v>
      </c>
      <c r="F122">
        <v>1737.68</v>
      </c>
      <c r="G122" t="s">
        <v>7</v>
      </c>
      <c r="H122">
        <v>60</v>
      </c>
      <c r="I122">
        <f t="shared" si="18"/>
        <v>0.9999990512995236</v>
      </c>
      <c r="J122" s="6">
        <f t="shared" si="18"/>
        <v>0</v>
      </c>
      <c r="K122" s="2">
        <f>(J122*$N$3)/$N$2</f>
        <v>0</v>
      </c>
    </row>
    <row r="123" spans="1:11" x14ac:dyDescent="0.3">
      <c r="A123" t="s">
        <v>4</v>
      </c>
      <c r="B123">
        <v>7</v>
      </c>
      <c r="C123">
        <v>5</v>
      </c>
      <c r="D123">
        <v>2687785.1621093801</v>
      </c>
      <c r="E123">
        <v>0</v>
      </c>
      <c r="F123">
        <v>1752.57</v>
      </c>
      <c r="G123" t="s">
        <v>7</v>
      </c>
      <c r="H123">
        <v>60</v>
      </c>
      <c r="I123">
        <f t="shared" si="18"/>
        <v>0.99999813973573137</v>
      </c>
      <c r="J123" s="6">
        <f t="shared" si="18"/>
        <v>0</v>
      </c>
      <c r="K123" s="2">
        <f>(J123*$N$3)/$N$2</f>
        <v>0</v>
      </c>
    </row>
    <row r="124" spans="1:11" x14ac:dyDescent="0.3">
      <c r="A124" t="s">
        <v>4</v>
      </c>
      <c r="B124">
        <v>2001</v>
      </c>
      <c r="C124">
        <v>2</v>
      </c>
      <c r="D124">
        <v>0</v>
      </c>
      <c r="E124">
        <v>0</v>
      </c>
      <c r="F124">
        <v>1767.02</v>
      </c>
    </row>
    <row r="125" spans="1:11" x14ac:dyDescent="0.3">
      <c r="A125" t="s">
        <v>4</v>
      </c>
      <c r="B125">
        <v>2001</v>
      </c>
      <c r="C125">
        <v>3</v>
      </c>
      <c r="D125">
        <v>0</v>
      </c>
      <c r="E125">
        <v>0</v>
      </c>
      <c r="F125">
        <v>1781.21</v>
      </c>
    </row>
    <row r="126" spans="1:11" x14ac:dyDescent="0.3">
      <c r="A126" t="s">
        <v>4</v>
      </c>
      <c r="B126">
        <v>2001</v>
      </c>
      <c r="C126">
        <v>2</v>
      </c>
      <c r="D126">
        <v>0</v>
      </c>
      <c r="E126">
        <v>0</v>
      </c>
      <c r="F126">
        <v>1795.54</v>
      </c>
    </row>
    <row r="127" spans="1:11" x14ac:dyDescent="0.3">
      <c r="A127" t="s">
        <v>4</v>
      </c>
      <c r="B127">
        <v>2001</v>
      </c>
      <c r="C127">
        <v>3</v>
      </c>
      <c r="D127">
        <v>0</v>
      </c>
      <c r="E127">
        <v>0</v>
      </c>
      <c r="F127">
        <v>1809.86</v>
      </c>
    </row>
    <row r="128" spans="1:11" x14ac:dyDescent="0.3">
      <c r="A128" t="s">
        <v>4</v>
      </c>
      <c r="B128">
        <v>7</v>
      </c>
      <c r="C128">
        <v>7</v>
      </c>
      <c r="D128">
        <v>2177644.2421875</v>
      </c>
      <c r="E128">
        <v>1354021.1113281299</v>
      </c>
      <c r="F128">
        <v>1824.71</v>
      </c>
      <c r="G128" t="s">
        <v>6</v>
      </c>
      <c r="H128">
        <v>60</v>
      </c>
      <c r="I128">
        <f t="shared" ref="I128:J130" si="19">D128/(C128+D128)</f>
        <v>0.99999678552751492</v>
      </c>
      <c r="J128" s="6">
        <f t="shared" si="19"/>
        <v>0.38339451102870115</v>
      </c>
      <c r="K128" s="2">
        <f>(J128*$N$3)/$N$2</f>
        <v>1.2501994924848951</v>
      </c>
    </row>
    <row r="129" spans="1:11" x14ac:dyDescent="0.3">
      <c r="A129" t="s">
        <v>4</v>
      </c>
      <c r="B129">
        <v>7</v>
      </c>
      <c r="C129">
        <v>9</v>
      </c>
      <c r="D129">
        <v>1388194.5410156299</v>
      </c>
      <c r="E129">
        <v>1878821.4433593799</v>
      </c>
      <c r="F129">
        <v>1839.48</v>
      </c>
      <c r="G129" t="s">
        <v>6</v>
      </c>
      <c r="H129">
        <v>60</v>
      </c>
      <c r="I129">
        <f t="shared" si="19"/>
        <v>0.99999351680086235</v>
      </c>
      <c r="J129" s="6">
        <f t="shared" si="19"/>
        <v>0.57508792498877359</v>
      </c>
      <c r="K129" s="2">
        <f>(J129*$N$3)/$N$2</f>
        <v>1.8752867119199137</v>
      </c>
    </row>
    <row r="130" spans="1:11" x14ac:dyDescent="0.3">
      <c r="A130" t="s">
        <v>4</v>
      </c>
      <c r="B130">
        <v>7</v>
      </c>
      <c r="C130">
        <v>11</v>
      </c>
      <c r="D130">
        <v>1545848.9990234401</v>
      </c>
      <c r="E130">
        <v>1836297.8349609401</v>
      </c>
      <c r="F130">
        <v>1854.1</v>
      </c>
      <c r="G130" t="s">
        <v>6</v>
      </c>
      <c r="H130">
        <v>60</v>
      </c>
      <c r="I130">
        <f t="shared" si="19"/>
        <v>0.9999928842197825</v>
      </c>
      <c r="J130" s="6">
        <f t="shared" si="19"/>
        <v>0.54293853138175752</v>
      </c>
      <c r="K130" s="2">
        <f>(J130*$N$3)/$N$2</f>
        <v>1.7704517327666007</v>
      </c>
    </row>
    <row r="131" spans="1:11" x14ac:dyDescent="0.3">
      <c r="A131" t="s">
        <v>4</v>
      </c>
      <c r="B131">
        <v>2001</v>
      </c>
      <c r="C131">
        <v>2</v>
      </c>
      <c r="D131">
        <v>0</v>
      </c>
      <c r="E131">
        <v>0</v>
      </c>
      <c r="F131">
        <v>1868.55</v>
      </c>
    </row>
    <row r="132" spans="1:11" x14ac:dyDescent="0.3">
      <c r="A132" t="s">
        <v>4</v>
      </c>
      <c r="B132">
        <v>2001</v>
      </c>
      <c r="C132">
        <v>3</v>
      </c>
      <c r="D132">
        <v>0</v>
      </c>
      <c r="E132">
        <v>0</v>
      </c>
      <c r="F132">
        <v>1882.33</v>
      </c>
    </row>
    <row r="133" spans="1:11" x14ac:dyDescent="0.3">
      <c r="A133" t="s">
        <v>4</v>
      </c>
      <c r="B133">
        <v>2001</v>
      </c>
      <c r="C133">
        <v>2</v>
      </c>
      <c r="D133">
        <v>0</v>
      </c>
      <c r="E133">
        <v>0</v>
      </c>
      <c r="F133">
        <v>1896.65</v>
      </c>
    </row>
    <row r="134" spans="1:11" x14ac:dyDescent="0.3">
      <c r="A134" t="s">
        <v>4</v>
      </c>
      <c r="B134">
        <v>2001</v>
      </c>
      <c r="C134">
        <v>3</v>
      </c>
      <c r="D134">
        <v>0</v>
      </c>
      <c r="E134">
        <v>0</v>
      </c>
      <c r="F134">
        <v>1910.85</v>
      </c>
    </row>
    <row r="135" spans="1:11" x14ac:dyDescent="0.3">
      <c r="A135" t="s">
        <v>4</v>
      </c>
      <c r="B135">
        <v>6</v>
      </c>
      <c r="C135">
        <v>1</v>
      </c>
      <c r="D135">
        <v>2982205.56640625</v>
      </c>
      <c r="E135">
        <v>0</v>
      </c>
      <c r="F135">
        <v>1925.86</v>
      </c>
      <c r="G135" t="s">
        <v>7</v>
      </c>
      <c r="H135">
        <v>90</v>
      </c>
      <c r="I135">
        <f t="shared" ref="I135:J137" si="20">D135/(C135+D135)</f>
        <v>0.99999966467782242</v>
      </c>
      <c r="J135" s="6">
        <f t="shared" si="20"/>
        <v>0</v>
      </c>
      <c r="K135" s="2">
        <f>(J135*$N$3)/$N$2</f>
        <v>0</v>
      </c>
    </row>
    <row r="136" spans="1:11" x14ac:dyDescent="0.3">
      <c r="A136" t="s">
        <v>4</v>
      </c>
      <c r="B136">
        <v>6</v>
      </c>
      <c r="C136">
        <v>3</v>
      </c>
      <c r="D136">
        <v>2153879.08203125</v>
      </c>
      <c r="E136">
        <v>0</v>
      </c>
      <c r="F136">
        <v>1940.79</v>
      </c>
      <c r="G136" t="s">
        <v>7</v>
      </c>
      <c r="H136">
        <v>90</v>
      </c>
      <c r="I136">
        <f t="shared" si="20"/>
        <v>0.9999986071660909</v>
      </c>
      <c r="J136" s="6">
        <f t="shared" si="20"/>
        <v>0</v>
      </c>
      <c r="K136" s="2">
        <f>(J136*$N$3)/$N$2</f>
        <v>0</v>
      </c>
    </row>
    <row r="137" spans="1:11" x14ac:dyDescent="0.3">
      <c r="A137" t="s">
        <v>4</v>
      </c>
      <c r="B137">
        <v>6</v>
      </c>
      <c r="C137">
        <v>5</v>
      </c>
      <c r="D137">
        <v>2815964.5122070299</v>
      </c>
      <c r="E137">
        <v>0</v>
      </c>
      <c r="F137">
        <v>1955.63</v>
      </c>
      <c r="G137" t="s">
        <v>7</v>
      </c>
      <c r="H137">
        <v>90</v>
      </c>
      <c r="I137">
        <f t="shared" si="20"/>
        <v>0.99999822441259456</v>
      </c>
      <c r="J137" s="6">
        <f t="shared" si="20"/>
        <v>0</v>
      </c>
      <c r="K137" s="2">
        <f>(J137*$N$3)/$N$2</f>
        <v>0</v>
      </c>
    </row>
    <row r="138" spans="1:11" x14ac:dyDescent="0.3">
      <c r="A138" t="s">
        <v>4</v>
      </c>
      <c r="B138">
        <v>2001</v>
      </c>
      <c r="C138">
        <v>2</v>
      </c>
      <c r="D138">
        <v>0</v>
      </c>
      <c r="E138">
        <v>0</v>
      </c>
      <c r="F138">
        <v>1970.11</v>
      </c>
    </row>
    <row r="139" spans="1:11" x14ac:dyDescent="0.3">
      <c r="A139" t="s">
        <v>4</v>
      </c>
      <c r="B139">
        <v>2001</v>
      </c>
      <c r="C139">
        <v>3</v>
      </c>
      <c r="D139">
        <v>0</v>
      </c>
      <c r="E139">
        <v>0</v>
      </c>
      <c r="F139">
        <v>1984.19</v>
      </c>
    </row>
    <row r="140" spans="1:11" x14ac:dyDescent="0.3">
      <c r="A140" t="s">
        <v>4</v>
      </c>
      <c r="B140">
        <v>2001</v>
      </c>
      <c r="C140">
        <v>2</v>
      </c>
      <c r="D140">
        <v>0</v>
      </c>
      <c r="E140">
        <v>0</v>
      </c>
      <c r="F140">
        <v>1998.63</v>
      </c>
    </row>
    <row r="141" spans="1:11" x14ac:dyDescent="0.3">
      <c r="A141" t="s">
        <v>4</v>
      </c>
      <c r="B141">
        <v>2001</v>
      </c>
      <c r="C141">
        <v>3</v>
      </c>
      <c r="D141">
        <v>0</v>
      </c>
      <c r="E141">
        <v>0</v>
      </c>
      <c r="F141">
        <v>2012.85</v>
      </c>
    </row>
    <row r="142" spans="1:11" x14ac:dyDescent="0.3">
      <c r="A142" t="s">
        <v>4</v>
      </c>
      <c r="B142">
        <v>6</v>
      </c>
      <c r="C142">
        <v>7</v>
      </c>
      <c r="D142">
        <v>1405964.0537109401</v>
      </c>
      <c r="E142">
        <v>1417912.40625</v>
      </c>
      <c r="F142">
        <v>2027.72</v>
      </c>
      <c r="G142" t="s">
        <v>6</v>
      </c>
      <c r="H142">
        <v>90</v>
      </c>
      <c r="I142">
        <f t="shared" ref="I142:J144" si="21">D142/(C142+D142)</f>
        <v>0.99999502123462536</v>
      </c>
      <c r="J142" s="6">
        <f t="shared" si="21"/>
        <v>0.50211559406165118</v>
      </c>
      <c r="K142" s="2">
        <f>(J142*$N$3)/$N$2</f>
        <v>1.6373334588966886</v>
      </c>
    </row>
    <row r="143" spans="1:11" x14ac:dyDescent="0.3">
      <c r="A143" t="s">
        <v>4</v>
      </c>
      <c r="B143">
        <v>6</v>
      </c>
      <c r="C143">
        <v>9</v>
      </c>
      <c r="D143">
        <v>887004.9765625</v>
      </c>
      <c r="E143">
        <v>2024547.9277343799</v>
      </c>
      <c r="F143">
        <v>2042.42</v>
      </c>
      <c r="G143" t="s">
        <v>6</v>
      </c>
      <c r="H143">
        <v>90</v>
      </c>
      <c r="I143">
        <f t="shared" si="21"/>
        <v>0.99998985359843495</v>
      </c>
      <c r="J143" s="6">
        <f t="shared" si="21"/>
        <v>0.69534986801941512</v>
      </c>
      <c r="K143" s="2">
        <f>(J143*$N$3)/$N$2</f>
        <v>2.2674452218024403</v>
      </c>
    </row>
    <row r="144" spans="1:11" x14ac:dyDescent="0.3">
      <c r="A144" t="s">
        <v>4</v>
      </c>
      <c r="B144">
        <v>6</v>
      </c>
      <c r="C144">
        <v>11</v>
      </c>
      <c r="D144">
        <v>1137443.39306641</v>
      </c>
      <c r="E144">
        <v>2147395.33203125</v>
      </c>
      <c r="F144">
        <v>2057.12</v>
      </c>
      <c r="G144" t="s">
        <v>6</v>
      </c>
      <c r="H144">
        <v>90</v>
      </c>
      <c r="I144">
        <f t="shared" si="21"/>
        <v>0.99999032928259191</v>
      </c>
      <c r="J144" s="6">
        <f t="shared" si="21"/>
        <v>0.65372930354972203</v>
      </c>
      <c r="K144" s="2">
        <f>(J144*$N$3)/$N$2</f>
        <v>2.1317259898360499</v>
      </c>
    </row>
    <row r="145" spans="1:11" x14ac:dyDescent="0.3">
      <c r="A145" t="s">
        <v>4</v>
      </c>
      <c r="B145">
        <v>2001</v>
      </c>
      <c r="C145">
        <v>2</v>
      </c>
      <c r="D145">
        <v>0</v>
      </c>
      <c r="E145">
        <v>0</v>
      </c>
      <c r="F145">
        <v>2071.58</v>
      </c>
    </row>
    <row r="146" spans="1:11" x14ac:dyDescent="0.3">
      <c r="A146" t="s">
        <v>4</v>
      </c>
      <c r="B146">
        <v>2001</v>
      </c>
      <c r="C146">
        <v>3</v>
      </c>
      <c r="D146">
        <v>0</v>
      </c>
      <c r="E146">
        <v>0</v>
      </c>
      <c r="F146">
        <v>2085.7600000000002</v>
      </c>
    </row>
    <row r="147" spans="1:11" x14ac:dyDescent="0.3">
      <c r="A147" t="s">
        <v>4</v>
      </c>
      <c r="B147">
        <v>2001</v>
      </c>
      <c r="C147">
        <v>2</v>
      </c>
      <c r="D147">
        <v>0</v>
      </c>
      <c r="E147">
        <v>0</v>
      </c>
      <c r="F147">
        <v>2100.21</v>
      </c>
    </row>
    <row r="148" spans="1:11" x14ac:dyDescent="0.3">
      <c r="A148" t="s">
        <v>4</v>
      </c>
      <c r="B148">
        <v>2001</v>
      </c>
      <c r="C148">
        <v>3</v>
      </c>
      <c r="D148">
        <v>0</v>
      </c>
      <c r="E148">
        <v>0</v>
      </c>
      <c r="F148">
        <v>2114.42</v>
      </c>
    </row>
    <row r="149" spans="1:11" x14ac:dyDescent="0.3">
      <c r="A149" t="s">
        <v>4</v>
      </c>
      <c r="B149">
        <v>2001</v>
      </c>
      <c r="C149">
        <v>2</v>
      </c>
      <c r="D149">
        <v>0</v>
      </c>
      <c r="E149">
        <v>0</v>
      </c>
      <c r="F149">
        <v>2128.77</v>
      </c>
    </row>
    <row r="150" spans="1:11" x14ac:dyDescent="0.3">
      <c r="A150" t="s">
        <v>4</v>
      </c>
      <c r="B150">
        <v>2001</v>
      </c>
      <c r="C150">
        <v>3</v>
      </c>
      <c r="D150">
        <v>0</v>
      </c>
      <c r="E150">
        <v>0</v>
      </c>
      <c r="F150">
        <v>2142.9499999999998</v>
      </c>
    </row>
    <row r="151" spans="1:11" x14ac:dyDescent="0.3">
      <c r="A151" t="s">
        <v>4</v>
      </c>
      <c r="B151">
        <v>5</v>
      </c>
      <c r="C151">
        <v>1</v>
      </c>
      <c r="D151">
        <v>2681870.1376953102</v>
      </c>
      <c r="E151">
        <v>10538.87890625</v>
      </c>
      <c r="F151">
        <v>2157.91</v>
      </c>
      <c r="G151" t="s">
        <v>7</v>
      </c>
      <c r="H151">
        <v>120</v>
      </c>
      <c r="I151">
        <f t="shared" ref="I151:J153" si="22">D151/(C151+D151)</f>
        <v>0.99999962712600698</v>
      </c>
      <c r="J151" s="6">
        <f t="shared" si="22"/>
        <v>3.9142934232007922E-3</v>
      </c>
      <c r="K151" s="2">
        <f>(J151*$N$3)/$N$2</f>
        <v>1.2764000293046062E-2</v>
      </c>
    </row>
    <row r="152" spans="1:11" x14ac:dyDescent="0.3">
      <c r="A152" t="s">
        <v>4</v>
      </c>
      <c r="B152">
        <v>5</v>
      </c>
      <c r="C152">
        <v>3</v>
      </c>
      <c r="D152">
        <v>2616216.59375</v>
      </c>
      <c r="E152">
        <v>5781.76025390625</v>
      </c>
      <c r="F152">
        <v>2172.7600000000002</v>
      </c>
      <c r="G152" t="s">
        <v>7</v>
      </c>
      <c r="H152">
        <v>120</v>
      </c>
      <c r="I152">
        <f t="shared" si="22"/>
        <v>0.99999885330726546</v>
      </c>
      <c r="J152" s="6">
        <f t="shared" si="22"/>
        <v>2.2050968281796396E-3</v>
      </c>
      <c r="K152" s="2">
        <f>(J152*$N$3)/$N$2</f>
        <v>7.1905331353683899E-3</v>
      </c>
    </row>
    <row r="153" spans="1:11" x14ac:dyDescent="0.3">
      <c r="A153" t="s">
        <v>4</v>
      </c>
      <c r="B153">
        <v>5</v>
      </c>
      <c r="C153">
        <v>5</v>
      </c>
      <c r="D153">
        <v>2748433.0361328102</v>
      </c>
      <c r="E153">
        <v>11817.767089843799</v>
      </c>
      <c r="F153">
        <v>2187.62</v>
      </c>
      <c r="G153" t="s">
        <v>7</v>
      </c>
      <c r="H153">
        <v>120</v>
      </c>
      <c r="I153">
        <f t="shared" si="22"/>
        <v>0.99999818078489155</v>
      </c>
      <c r="J153" s="6">
        <f t="shared" si="22"/>
        <v>4.2814106153130343E-3</v>
      </c>
      <c r="K153" s="2">
        <f>(J153*$N$3)/$N$2</f>
        <v>1.3961121571672938E-2</v>
      </c>
    </row>
    <row r="154" spans="1:11" x14ac:dyDescent="0.3">
      <c r="A154" t="s">
        <v>4</v>
      </c>
      <c r="B154">
        <v>2001</v>
      </c>
      <c r="C154">
        <v>2</v>
      </c>
      <c r="D154">
        <v>0</v>
      </c>
      <c r="E154">
        <v>0</v>
      </c>
      <c r="F154">
        <v>2202.08</v>
      </c>
    </row>
    <row r="155" spans="1:11" x14ac:dyDescent="0.3">
      <c r="A155" t="s">
        <v>4</v>
      </c>
      <c r="B155">
        <v>2001</v>
      </c>
      <c r="C155">
        <v>3</v>
      </c>
      <c r="D155">
        <v>0</v>
      </c>
      <c r="E155">
        <v>0</v>
      </c>
      <c r="F155">
        <v>2216.16</v>
      </c>
    </row>
    <row r="156" spans="1:11" x14ac:dyDescent="0.3">
      <c r="A156" t="s">
        <v>4</v>
      </c>
      <c r="B156">
        <v>5</v>
      </c>
      <c r="C156">
        <v>7</v>
      </c>
      <c r="D156">
        <v>1187849.2705078099</v>
      </c>
      <c r="E156">
        <v>1623334.7578125</v>
      </c>
      <c r="F156">
        <v>2231.04</v>
      </c>
      <c r="G156" t="s">
        <v>6</v>
      </c>
      <c r="H156">
        <v>120</v>
      </c>
      <c r="I156">
        <f t="shared" ref="I156:J158" si="23">D156/(C156+D156)</f>
        <v>0.99999410703115033</v>
      </c>
      <c r="J156" s="6">
        <f t="shared" si="23"/>
        <v>0.57745588387624947</v>
      </c>
      <c r="K156" s="2">
        <f>(J156*$N$3)/$N$2</f>
        <v>1.88300831698777</v>
      </c>
    </row>
    <row r="157" spans="1:11" x14ac:dyDescent="0.3">
      <c r="A157" t="s">
        <v>4</v>
      </c>
      <c r="B157">
        <v>5</v>
      </c>
      <c r="C157">
        <v>9</v>
      </c>
      <c r="D157">
        <v>546991.26953125</v>
      </c>
      <c r="E157">
        <v>1926897.3730468799</v>
      </c>
      <c r="F157">
        <v>2245.87</v>
      </c>
      <c r="G157" t="s">
        <v>6</v>
      </c>
      <c r="H157">
        <v>120</v>
      </c>
      <c r="I157">
        <f t="shared" si="23"/>
        <v>0.99998354662602318</v>
      </c>
      <c r="J157" s="6">
        <f t="shared" si="23"/>
        <v>0.77889414255881373</v>
      </c>
      <c r="K157" s="2">
        <f>(J157*$N$3)/$N$2</f>
        <v>2.5398722039961319</v>
      </c>
    </row>
    <row r="158" spans="1:11" x14ac:dyDescent="0.3">
      <c r="A158" t="s">
        <v>4</v>
      </c>
      <c r="B158">
        <v>5</v>
      </c>
      <c r="C158">
        <v>11</v>
      </c>
      <c r="D158">
        <v>746315.20703125</v>
      </c>
      <c r="E158">
        <v>2119651.4921875</v>
      </c>
      <c r="F158">
        <v>2260.59</v>
      </c>
      <c r="G158" t="s">
        <v>6</v>
      </c>
      <c r="H158">
        <v>120</v>
      </c>
      <c r="I158">
        <f t="shared" si="23"/>
        <v>0.99998526113662312</v>
      </c>
      <c r="J158" s="6">
        <f t="shared" si="23"/>
        <v>0.73959390134062186</v>
      </c>
      <c r="K158" s="2">
        <f>(J158*$N$3)/$N$2</f>
        <v>2.411719243502028</v>
      </c>
    </row>
    <row r="159" spans="1:11" x14ac:dyDescent="0.3">
      <c r="A159" t="s">
        <v>4</v>
      </c>
      <c r="B159">
        <v>2001</v>
      </c>
      <c r="C159">
        <v>2</v>
      </c>
      <c r="D159">
        <v>0</v>
      </c>
      <c r="E159">
        <v>0</v>
      </c>
      <c r="F159">
        <v>2274.92</v>
      </c>
    </row>
    <row r="160" spans="1:11" x14ac:dyDescent="0.3">
      <c r="A160" t="s">
        <v>4</v>
      </c>
      <c r="B160">
        <v>2001</v>
      </c>
      <c r="C160">
        <v>3</v>
      </c>
      <c r="D160">
        <v>0</v>
      </c>
      <c r="E160">
        <v>0</v>
      </c>
      <c r="F160">
        <v>2289.15</v>
      </c>
    </row>
    <row r="161" spans="1:11" x14ac:dyDescent="0.3">
      <c r="A161" t="s">
        <v>4</v>
      </c>
      <c r="B161">
        <v>2001</v>
      </c>
      <c r="C161">
        <v>2</v>
      </c>
      <c r="D161">
        <v>0</v>
      </c>
      <c r="E161">
        <v>0</v>
      </c>
      <c r="F161">
        <v>2303.58</v>
      </c>
    </row>
    <row r="162" spans="1:11" x14ac:dyDescent="0.3">
      <c r="A162" t="s">
        <v>4</v>
      </c>
      <c r="B162">
        <v>2001</v>
      </c>
      <c r="C162">
        <v>3</v>
      </c>
      <c r="D162">
        <v>0</v>
      </c>
      <c r="E162">
        <v>0</v>
      </c>
      <c r="F162">
        <v>2317.79</v>
      </c>
    </row>
    <row r="163" spans="1:11" x14ac:dyDescent="0.3">
      <c r="A163" t="s">
        <v>4</v>
      </c>
      <c r="B163">
        <v>4</v>
      </c>
      <c r="C163">
        <v>1</v>
      </c>
      <c r="D163">
        <v>853498.59033203102</v>
      </c>
      <c r="E163">
        <v>52501.504394531301</v>
      </c>
      <c r="F163">
        <v>2332.65</v>
      </c>
      <c r="G163" t="s">
        <v>7</v>
      </c>
      <c r="H163">
        <v>300</v>
      </c>
      <c r="I163">
        <f t="shared" ref="I163:J165" si="24">D163/(C163+D163)</f>
        <v>0.9999988283532748</v>
      </c>
      <c r="J163" s="6">
        <f t="shared" si="24"/>
        <v>5.7948674288358273E-2</v>
      </c>
      <c r="K163" s="2">
        <f>(J163*$N$3)/$N$2</f>
        <v>0.18896306833160306</v>
      </c>
    </row>
    <row r="164" spans="1:11" x14ac:dyDescent="0.3">
      <c r="A164" t="s">
        <v>4</v>
      </c>
      <c r="B164">
        <v>4</v>
      </c>
      <c r="C164">
        <v>3</v>
      </c>
      <c r="D164">
        <v>851841.791015625</v>
      </c>
      <c r="E164">
        <v>35659.05859375</v>
      </c>
      <c r="F164">
        <v>2347.58</v>
      </c>
      <c r="G164" t="s">
        <v>7</v>
      </c>
      <c r="H164">
        <v>300</v>
      </c>
      <c r="I164">
        <f t="shared" si="24"/>
        <v>0.99999647823167825</v>
      </c>
      <c r="J164" s="6">
        <f t="shared" si="24"/>
        <v>4.0179182486918173E-2</v>
      </c>
      <c r="K164" s="2">
        <f>(J164*$N$3)/$N$2</f>
        <v>0.13101907332690707</v>
      </c>
    </row>
    <row r="165" spans="1:11" x14ac:dyDescent="0.3">
      <c r="A165" t="s">
        <v>4</v>
      </c>
      <c r="B165">
        <v>4</v>
      </c>
      <c r="C165">
        <v>5</v>
      </c>
      <c r="D165">
        <v>824293.91845703102</v>
      </c>
      <c r="E165">
        <v>50355.3525390625</v>
      </c>
      <c r="F165">
        <v>2362.46</v>
      </c>
      <c r="G165" t="s">
        <v>7</v>
      </c>
      <c r="H165">
        <v>300</v>
      </c>
      <c r="I165">
        <f t="shared" si="24"/>
        <v>0.9999939342392814</v>
      </c>
      <c r="J165" s="6">
        <f t="shared" si="24"/>
        <v>5.7572051116804059E-2</v>
      </c>
      <c r="K165" s="2">
        <f>(J165*$N$3)/$N$2</f>
        <v>0.18773494929392628</v>
      </c>
    </row>
    <row r="166" spans="1:11" x14ac:dyDescent="0.3">
      <c r="A166" t="s">
        <v>4</v>
      </c>
      <c r="B166">
        <v>2001</v>
      </c>
      <c r="C166">
        <v>2</v>
      </c>
      <c r="D166">
        <v>0</v>
      </c>
      <c r="E166">
        <v>0</v>
      </c>
      <c r="F166">
        <v>2376.91</v>
      </c>
    </row>
    <row r="167" spans="1:11" x14ac:dyDescent="0.3">
      <c r="A167" t="s">
        <v>4</v>
      </c>
      <c r="B167">
        <v>2001</v>
      </c>
      <c r="C167">
        <v>3</v>
      </c>
      <c r="D167">
        <v>0</v>
      </c>
      <c r="E167">
        <v>0</v>
      </c>
      <c r="F167">
        <v>2391.11</v>
      </c>
    </row>
    <row r="168" spans="1:11" x14ac:dyDescent="0.3">
      <c r="A168" t="s">
        <v>4</v>
      </c>
      <c r="B168">
        <v>4</v>
      </c>
      <c r="C168">
        <v>7</v>
      </c>
      <c r="D168">
        <v>569448.03222656297</v>
      </c>
      <c r="E168">
        <v>2060125.5058593799</v>
      </c>
      <c r="F168">
        <v>2405.94</v>
      </c>
      <c r="G168" t="s">
        <v>6</v>
      </c>
      <c r="H168">
        <v>300</v>
      </c>
      <c r="I168">
        <f t="shared" ref="I168:J170" si="25">D168/(C168+D168)</f>
        <v>0.99998770754562893</v>
      </c>
      <c r="J168" s="6">
        <f t="shared" si="25"/>
        <v>0.78344472060626902</v>
      </c>
      <c r="K168" s="2">
        <f>(J168*$N$3)/$N$2</f>
        <v>2.5547110454552251</v>
      </c>
    </row>
    <row r="169" spans="1:11" x14ac:dyDescent="0.3">
      <c r="A169" t="s">
        <v>4</v>
      </c>
      <c r="B169">
        <v>4</v>
      </c>
      <c r="C169">
        <v>9</v>
      </c>
      <c r="D169">
        <v>221515.60302734401</v>
      </c>
      <c r="E169">
        <v>1902025.03125</v>
      </c>
      <c r="F169">
        <v>2420.64</v>
      </c>
      <c r="G169" t="s">
        <v>6</v>
      </c>
      <c r="H169">
        <v>300</v>
      </c>
      <c r="I169">
        <f t="shared" si="25"/>
        <v>0.99995937245851252</v>
      </c>
      <c r="J169" s="6">
        <f t="shared" si="25"/>
        <v>0.8956857243738463</v>
      </c>
      <c r="K169" s="2">
        <f>(J169*$N$3)/$N$2</f>
        <v>2.9207143186103681</v>
      </c>
    </row>
    <row r="170" spans="1:11" x14ac:dyDescent="0.3">
      <c r="A170" t="s">
        <v>4</v>
      </c>
      <c r="B170">
        <v>4</v>
      </c>
      <c r="C170">
        <v>11</v>
      </c>
      <c r="D170">
        <v>389524.529296875</v>
      </c>
      <c r="E170">
        <v>2568746.8769531301</v>
      </c>
      <c r="F170">
        <v>2435.37</v>
      </c>
      <c r="G170" t="s">
        <v>6</v>
      </c>
      <c r="H170">
        <v>300</v>
      </c>
      <c r="I170">
        <f t="shared" si="25"/>
        <v>0.99997176124082998</v>
      </c>
      <c r="J170" s="6">
        <f t="shared" si="25"/>
        <v>0.8683269802514002</v>
      </c>
      <c r="K170" s="2">
        <f>(J170*$N$3)/$N$2</f>
        <v>2.8315010225589137</v>
      </c>
    </row>
    <row r="171" spans="1:11" x14ac:dyDescent="0.3">
      <c r="A171" t="s">
        <v>4</v>
      </c>
      <c r="B171">
        <v>2001</v>
      </c>
      <c r="C171">
        <v>2</v>
      </c>
      <c r="D171">
        <v>0</v>
      </c>
      <c r="E171">
        <v>0</v>
      </c>
      <c r="F171">
        <v>2449.75</v>
      </c>
    </row>
    <row r="172" spans="1:11" x14ac:dyDescent="0.3">
      <c r="A172" t="s">
        <v>4</v>
      </c>
      <c r="B172">
        <v>2001</v>
      </c>
      <c r="C172">
        <v>3</v>
      </c>
      <c r="D172">
        <v>0</v>
      </c>
      <c r="E172">
        <v>0</v>
      </c>
      <c r="F172">
        <v>2463.96</v>
      </c>
    </row>
    <row r="173" spans="1:11" x14ac:dyDescent="0.3">
      <c r="A173" t="s">
        <v>4</v>
      </c>
      <c r="B173">
        <v>2001</v>
      </c>
      <c r="C173">
        <v>2</v>
      </c>
      <c r="D173">
        <v>0</v>
      </c>
      <c r="E173">
        <v>0</v>
      </c>
      <c r="F173">
        <v>2478.39</v>
      </c>
    </row>
    <row r="174" spans="1:11" x14ac:dyDescent="0.3">
      <c r="A174" t="s">
        <v>4</v>
      </c>
      <c r="B174">
        <v>2001</v>
      </c>
      <c r="C174">
        <v>3</v>
      </c>
      <c r="D174">
        <v>0</v>
      </c>
      <c r="E174">
        <v>0</v>
      </c>
      <c r="F174">
        <v>2492.59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EA6E-2231-4F9E-B323-0338AF70244C}">
  <dimension ref="A1:S172"/>
  <sheetViews>
    <sheetView tabSelected="1" topLeftCell="K1" workbookViewId="0">
      <selection activeCell="S26" sqref="S26"/>
    </sheetView>
  </sheetViews>
  <sheetFormatPr defaultRowHeight="14.4" x14ac:dyDescent="0.3"/>
  <cols>
    <col min="9" max="9" width="11" bestFit="1" customWidth="1"/>
    <col min="10" max="10" width="11" style="6" bestFit="1" customWidth="1"/>
    <col min="14" max="15" width="9.33203125" bestFit="1" customWidth="1"/>
    <col min="19" max="19" width="9.33203125" bestFit="1" customWidth="1"/>
  </cols>
  <sheetData>
    <row r="1" spans="1:19" x14ac:dyDescent="0.3">
      <c r="A1" t="s">
        <v>8</v>
      </c>
    </row>
    <row r="2" spans="1:19" x14ac:dyDescent="0.3">
      <c r="A2" t="s">
        <v>0</v>
      </c>
      <c r="B2" t="s">
        <v>1</v>
      </c>
      <c r="C2" t="s">
        <v>2</v>
      </c>
      <c r="D2">
        <v>1442.73</v>
      </c>
      <c r="E2">
        <v>1474.73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 s="2">
        <v>2.6199999999999999E-3</v>
      </c>
    </row>
    <row r="3" spans="1:19" x14ac:dyDescent="0.3">
      <c r="A3" t="s">
        <v>4</v>
      </c>
      <c r="B3">
        <v>2001</v>
      </c>
      <c r="C3">
        <v>2</v>
      </c>
      <c r="D3">
        <v>0</v>
      </c>
      <c r="E3">
        <v>0</v>
      </c>
      <c r="F3">
        <v>7.27</v>
      </c>
      <c r="M3" t="s">
        <v>15</v>
      </c>
      <c r="N3" s="2">
        <v>8.9999999999999993E-3</v>
      </c>
    </row>
    <row r="4" spans="1:19" x14ac:dyDescent="0.3">
      <c r="A4" t="s">
        <v>4</v>
      </c>
      <c r="B4">
        <v>2001</v>
      </c>
      <c r="C4">
        <v>3</v>
      </c>
      <c r="D4">
        <v>0</v>
      </c>
      <c r="E4">
        <v>0</v>
      </c>
      <c r="F4">
        <v>21.47</v>
      </c>
    </row>
    <row r="5" spans="1:19" x14ac:dyDescent="0.3">
      <c r="A5" t="s">
        <v>4</v>
      </c>
      <c r="B5">
        <v>2001</v>
      </c>
      <c r="C5">
        <v>2</v>
      </c>
      <c r="D5">
        <v>0</v>
      </c>
      <c r="E5">
        <v>0</v>
      </c>
      <c r="F5">
        <v>35.9</v>
      </c>
    </row>
    <row r="6" spans="1:19" x14ac:dyDescent="0.3">
      <c r="A6" t="s">
        <v>4</v>
      </c>
      <c r="B6">
        <v>2001</v>
      </c>
      <c r="C6">
        <v>3</v>
      </c>
      <c r="D6">
        <v>0</v>
      </c>
      <c r="E6">
        <v>0</v>
      </c>
      <c r="F6">
        <v>50.1</v>
      </c>
    </row>
    <row r="7" spans="1:19" ht="15.6" x14ac:dyDescent="0.3">
      <c r="A7" t="s">
        <v>4</v>
      </c>
      <c r="B7">
        <v>16</v>
      </c>
      <c r="C7">
        <v>14</v>
      </c>
      <c r="D7">
        <v>4521019.421875</v>
      </c>
      <c r="E7">
        <v>0</v>
      </c>
      <c r="F7">
        <v>64.95</v>
      </c>
      <c r="G7" t="s">
        <v>7</v>
      </c>
      <c r="H7">
        <v>0</v>
      </c>
      <c r="I7">
        <f t="shared" ref="I7:J9" si="0">D7/(C7+D7)</f>
        <v>0.99999690336286118</v>
      </c>
      <c r="J7" s="6">
        <f t="shared" si="0"/>
        <v>0</v>
      </c>
      <c r="K7" s="2">
        <f>(J7*$N$3)/$N$2</f>
        <v>0</v>
      </c>
      <c r="M7" s="3"/>
      <c r="N7" s="4" t="s">
        <v>17</v>
      </c>
      <c r="O7" s="3"/>
      <c r="Q7" s="3"/>
      <c r="R7" s="4" t="s">
        <v>17</v>
      </c>
      <c r="S7" s="3"/>
    </row>
    <row r="8" spans="1:19" ht="15.6" x14ac:dyDescent="0.3">
      <c r="A8" t="s">
        <v>4</v>
      </c>
      <c r="B8">
        <v>16</v>
      </c>
      <c r="C8">
        <v>16</v>
      </c>
      <c r="D8">
        <v>6738881.0878906297</v>
      </c>
      <c r="E8">
        <v>0</v>
      </c>
      <c r="F8">
        <v>79.930000000000007</v>
      </c>
      <c r="G8" t="s">
        <v>7</v>
      </c>
      <c r="H8">
        <v>0</v>
      </c>
      <c r="I8">
        <f t="shared" si="0"/>
        <v>0.99999762572424078</v>
      </c>
      <c r="J8" s="6">
        <f t="shared" si="0"/>
        <v>0</v>
      </c>
      <c r="K8" s="2">
        <f>(J8*$N$3)/$N$2</f>
        <v>0</v>
      </c>
      <c r="M8" s="4" t="s">
        <v>18</v>
      </c>
      <c r="N8" s="4" t="s">
        <v>13</v>
      </c>
      <c r="O8" s="3" t="s">
        <v>19</v>
      </c>
      <c r="Q8" s="4" t="s">
        <v>18</v>
      </c>
      <c r="R8" s="4" t="s">
        <v>20</v>
      </c>
      <c r="S8" s="3" t="s">
        <v>19</v>
      </c>
    </row>
    <row r="9" spans="1:19" ht="15.6" x14ac:dyDescent="0.3">
      <c r="A9" t="s">
        <v>4</v>
      </c>
      <c r="B9">
        <v>16</v>
      </c>
      <c r="C9">
        <v>18</v>
      </c>
      <c r="D9">
        <v>6071822.6347656297</v>
      </c>
      <c r="E9">
        <v>0</v>
      </c>
      <c r="F9">
        <v>94.77</v>
      </c>
      <c r="G9" t="s">
        <v>7</v>
      </c>
      <c r="H9">
        <v>0</v>
      </c>
      <c r="I9">
        <f t="shared" si="0"/>
        <v>0.99999703549531638</v>
      </c>
      <c r="J9" s="6">
        <f t="shared" si="0"/>
        <v>0</v>
      </c>
      <c r="K9" s="2">
        <f>(J9*$N$3)/$N$2</f>
        <v>0</v>
      </c>
      <c r="M9" s="3">
        <v>0</v>
      </c>
      <c r="N9" s="5">
        <f>AVERAGE(K12:K14)</f>
        <v>0</v>
      </c>
      <c r="O9" s="5">
        <f>STDEV(K12:K14)</f>
        <v>0</v>
      </c>
      <c r="Q9" s="3">
        <v>0</v>
      </c>
      <c r="R9" s="7">
        <f>AVERAGE(J12:J14)</f>
        <v>0</v>
      </c>
      <c r="S9" s="7">
        <f>STDEV(J12:J14)</f>
        <v>0</v>
      </c>
    </row>
    <row r="10" spans="1:19" ht="15.6" x14ac:dyDescent="0.3">
      <c r="A10" t="s">
        <v>4</v>
      </c>
      <c r="B10">
        <v>2001</v>
      </c>
      <c r="C10">
        <v>2</v>
      </c>
      <c r="D10">
        <v>0</v>
      </c>
      <c r="E10">
        <v>0</v>
      </c>
      <c r="F10">
        <v>109.19</v>
      </c>
      <c r="M10" s="3">
        <v>0.5</v>
      </c>
      <c r="N10" s="5">
        <f>AVERAGE(K24:K26)</f>
        <v>0</v>
      </c>
      <c r="O10" s="5">
        <f>STDEV(K24:K26)</f>
        <v>0</v>
      </c>
      <c r="Q10" s="3">
        <v>0.5</v>
      </c>
      <c r="R10" s="7">
        <f>AVERAGE(J24:J26)</f>
        <v>0</v>
      </c>
      <c r="S10" s="7">
        <f>STDEV(J24:J26)</f>
        <v>0</v>
      </c>
    </row>
    <row r="11" spans="1:19" ht="15.6" x14ac:dyDescent="0.3">
      <c r="A11" t="s">
        <v>4</v>
      </c>
      <c r="B11">
        <v>2001</v>
      </c>
      <c r="C11">
        <v>3</v>
      </c>
      <c r="D11">
        <v>0</v>
      </c>
      <c r="E11">
        <v>0</v>
      </c>
      <c r="F11">
        <v>123.37</v>
      </c>
      <c r="M11" s="3">
        <v>1</v>
      </c>
      <c r="N11" s="5">
        <f>AVERAGE(K36:K38)</f>
        <v>3.0245990291619371E-2</v>
      </c>
      <c r="O11" s="5">
        <f>STDEV(K36:K38)</f>
        <v>4.7908116772363901E-3</v>
      </c>
      <c r="Q11" s="3">
        <v>1</v>
      </c>
      <c r="R11" s="7">
        <f>AVERAGE(J37:J39)</f>
        <v>9.2006629419607681E-3</v>
      </c>
      <c r="S11" s="7">
        <f>STDEV(J37:J39)</f>
        <v>1.717726135891927E-3</v>
      </c>
    </row>
    <row r="12" spans="1:19" ht="15.6" x14ac:dyDescent="0.3">
      <c r="A12" t="s">
        <v>4</v>
      </c>
      <c r="B12">
        <v>16</v>
      </c>
      <c r="C12">
        <v>20</v>
      </c>
      <c r="D12">
        <v>5926140.7734375</v>
      </c>
      <c r="E12">
        <v>0</v>
      </c>
      <c r="F12">
        <v>138.31</v>
      </c>
      <c r="G12" t="s">
        <v>6</v>
      </c>
      <c r="H12">
        <v>0</v>
      </c>
      <c r="I12">
        <f t="shared" ref="I12:J14" si="1">D12/(C12+D12)</f>
        <v>0.99999662513374765</v>
      </c>
      <c r="J12" s="6">
        <f t="shared" si="1"/>
        <v>0</v>
      </c>
      <c r="K12" s="2">
        <f>(J12*$N$3)/$N$2</f>
        <v>0</v>
      </c>
      <c r="M12" s="3">
        <v>1.5</v>
      </c>
      <c r="N12" s="5">
        <f>AVERAGE(K48:K50)</f>
        <v>4.82336546786322E-2</v>
      </c>
      <c r="O12" s="5">
        <f>STDEV(K48:K50)</f>
        <v>2.076561102876216E-3</v>
      </c>
      <c r="Q12" s="3">
        <v>1.5</v>
      </c>
      <c r="R12" s="7">
        <f>AVERAGE(J49:J51)</f>
        <v>1.3809492324755337E-2</v>
      </c>
      <c r="S12" s="7">
        <f>STDEV(J49:J51)</f>
        <v>6.3899061529568547E-4</v>
      </c>
    </row>
    <row r="13" spans="1:19" ht="15.6" x14ac:dyDescent="0.3">
      <c r="A13" t="s">
        <v>4</v>
      </c>
      <c r="B13">
        <v>16</v>
      </c>
      <c r="C13">
        <v>22</v>
      </c>
      <c r="D13">
        <v>5775633.8828125</v>
      </c>
      <c r="E13">
        <v>0</v>
      </c>
      <c r="F13">
        <v>153.22999999999999</v>
      </c>
      <c r="G13" t="s">
        <v>6</v>
      </c>
      <c r="H13">
        <v>0</v>
      </c>
      <c r="I13">
        <f t="shared" si="1"/>
        <v>0.99999619090879954</v>
      </c>
      <c r="J13" s="6">
        <f t="shared" si="1"/>
        <v>0</v>
      </c>
      <c r="K13" s="2">
        <f>(J13*$N$3)/$N$2</f>
        <v>0</v>
      </c>
      <c r="M13" s="3">
        <v>3</v>
      </c>
      <c r="N13" s="5">
        <f>AVERAGE(K60:K62)</f>
        <v>0.13356761192387545</v>
      </c>
      <c r="O13" s="5">
        <f>STDEV(K60:K62)</f>
        <v>3.8863971120677871E-3</v>
      </c>
      <c r="Q13" s="3">
        <v>3</v>
      </c>
      <c r="R13" s="7">
        <f>AVERAGE(J61:J63)</f>
        <v>3.8394948813745097E-2</v>
      </c>
      <c r="S13" s="7">
        <f>STDEV(J61:J63)</f>
        <v>1.0633694001683223E-3</v>
      </c>
    </row>
    <row r="14" spans="1:19" ht="15.6" x14ac:dyDescent="0.3">
      <c r="A14" t="s">
        <v>4</v>
      </c>
      <c r="B14">
        <v>16</v>
      </c>
      <c r="C14">
        <v>24</v>
      </c>
      <c r="D14">
        <v>3163035.08203125</v>
      </c>
      <c r="E14">
        <v>0</v>
      </c>
      <c r="F14">
        <v>168.06</v>
      </c>
      <c r="G14" t="s">
        <v>6</v>
      </c>
      <c r="H14">
        <v>0</v>
      </c>
      <c r="I14">
        <f t="shared" si="1"/>
        <v>0.99999241240856473</v>
      </c>
      <c r="J14" s="6">
        <f t="shared" si="1"/>
        <v>0</v>
      </c>
      <c r="K14" s="2">
        <f>(J14*$N$3)/$N$2</f>
        <v>0</v>
      </c>
      <c r="M14" s="3">
        <v>5</v>
      </c>
      <c r="N14" s="5">
        <f>AVERAGE(K72:K74)</f>
        <v>0.22239501781432938</v>
      </c>
      <c r="O14" s="5">
        <f>STDEV(K72:K74)</f>
        <v>1.9543060548633268E-2</v>
      </c>
      <c r="Q14" s="3">
        <v>5</v>
      </c>
      <c r="R14" s="7">
        <f>AVERAGE(J73:J75)</f>
        <v>6.1507330006172839E-2</v>
      </c>
      <c r="S14" s="7">
        <f>STDEV(J73:J75)</f>
        <v>1.4030925031042211E-3</v>
      </c>
    </row>
    <row r="15" spans="1:19" ht="15.6" x14ac:dyDescent="0.3">
      <c r="A15" t="s">
        <v>4</v>
      </c>
      <c r="B15">
        <v>2001</v>
      </c>
      <c r="C15">
        <v>2</v>
      </c>
      <c r="D15">
        <v>0</v>
      </c>
      <c r="E15">
        <v>0</v>
      </c>
      <c r="F15">
        <v>182.55</v>
      </c>
      <c r="M15" s="3">
        <v>10</v>
      </c>
      <c r="N15" s="5">
        <f>AVERAGE(K84:K86)</f>
        <v>0.3983408752277246</v>
      </c>
      <c r="O15" s="5">
        <f>STDEV(K84:K86)</f>
        <v>1.6285300974654617E-2</v>
      </c>
      <c r="Q15" s="3">
        <v>10</v>
      </c>
      <c r="R15" s="7">
        <f>AVERAGE(J85:J87)</f>
        <v>0.11451289639785539</v>
      </c>
      <c r="S15" s="7">
        <f>STDEV(J85:J87)</f>
        <v>5.6886772455452452E-3</v>
      </c>
    </row>
    <row r="16" spans="1:19" ht="15.6" x14ac:dyDescent="0.3">
      <c r="A16" t="s">
        <v>4</v>
      </c>
      <c r="B16">
        <v>2001</v>
      </c>
      <c r="C16">
        <v>3</v>
      </c>
      <c r="D16">
        <v>0</v>
      </c>
      <c r="E16">
        <v>0</v>
      </c>
      <c r="F16">
        <v>196.79</v>
      </c>
      <c r="M16" s="3">
        <v>20</v>
      </c>
      <c r="N16" s="5">
        <f>AVERAGE(K96:K98)</f>
        <v>0.73356729701478673</v>
      </c>
      <c r="O16" s="5">
        <f>STDEV(K96:K98)</f>
        <v>9.4737887571818988E-2</v>
      </c>
      <c r="Q16" s="3">
        <v>20</v>
      </c>
      <c r="R16" s="7">
        <f>AVERAGE(J97:J99)</f>
        <v>0.2204816357666757</v>
      </c>
      <c r="S16" s="7">
        <f>STDEV(J97:J99)</f>
        <v>3.5112829206482427E-2</v>
      </c>
    </row>
    <row r="17" spans="1:19" ht="15.6" x14ac:dyDescent="0.3">
      <c r="A17" t="s">
        <v>4</v>
      </c>
      <c r="B17">
        <v>2001</v>
      </c>
      <c r="C17">
        <v>2</v>
      </c>
      <c r="D17">
        <v>0</v>
      </c>
      <c r="E17">
        <v>0</v>
      </c>
      <c r="F17">
        <v>211.14</v>
      </c>
      <c r="M17" s="3">
        <v>40</v>
      </c>
      <c r="N17" s="5">
        <f>AVERAGE(K112:K114)</f>
        <v>1.4018515617431457</v>
      </c>
      <c r="O17" s="5">
        <f>STDEV(K112:K114)</f>
        <v>8.4221507584748556E-2</v>
      </c>
      <c r="Q17" s="3">
        <v>40</v>
      </c>
      <c r="R17" s="7">
        <f>AVERAGE(J113:J115)</f>
        <v>0.39661484421520676</v>
      </c>
      <c r="S17" s="7">
        <f>STDEV(J113:J115)</f>
        <v>2.0286513437428925E-2</v>
      </c>
    </row>
    <row r="18" spans="1:19" ht="15.6" x14ac:dyDescent="0.3">
      <c r="A18" t="s">
        <v>4</v>
      </c>
      <c r="B18">
        <v>2001</v>
      </c>
      <c r="C18">
        <v>3</v>
      </c>
      <c r="D18">
        <v>0</v>
      </c>
      <c r="E18">
        <v>0</v>
      </c>
      <c r="F18">
        <v>225.35</v>
      </c>
      <c r="M18" s="3">
        <v>60</v>
      </c>
      <c r="N18" s="5">
        <f>AVERAGE(K126:K128)</f>
        <v>1.9003178078461687</v>
      </c>
      <c r="O18" s="5">
        <f>STDEV(K126:K128)</f>
        <v>5.7841530523093508E-2</v>
      </c>
      <c r="Q18" s="3">
        <v>60</v>
      </c>
      <c r="R18" s="7">
        <f>AVERAGE(J127:J129)</f>
        <v>0.54917933795869922</v>
      </c>
      <c r="S18" s="7">
        <f>STDEV(J127:J129)</f>
        <v>2.167690084617465E-2</v>
      </c>
    </row>
    <row r="19" spans="1:19" ht="15.6" x14ac:dyDescent="0.3">
      <c r="A19" t="s">
        <v>4</v>
      </c>
      <c r="B19">
        <v>15</v>
      </c>
      <c r="C19">
        <v>14</v>
      </c>
      <c r="D19">
        <v>5622984.76171875</v>
      </c>
      <c r="E19">
        <v>0</v>
      </c>
      <c r="F19">
        <v>240.22</v>
      </c>
      <c r="G19" t="s">
        <v>7</v>
      </c>
      <c r="H19">
        <v>0.5</v>
      </c>
      <c r="I19">
        <f t="shared" ref="I19:J21" si="2">D19/(C19+D19)</f>
        <v>0.9999975102253098</v>
      </c>
      <c r="J19" s="6">
        <f t="shared" si="2"/>
        <v>0</v>
      </c>
      <c r="K19" s="2">
        <f>(J19*$N$3)/$N$2</f>
        <v>0</v>
      </c>
      <c r="M19" s="3">
        <v>90</v>
      </c>
      <c r="N19" s="5">
        <f>AVERAGE(K140:K142)</f>
        <v>2.4058413545849615</v>
      </c>
      <c r="O19" s="5">
        <f>STDEV(K140:K142)</f>
        <v>5.4282253847321681E-2</v>
      </c>
      <c r="Q19" s="3">
        <v>90</v>
      </c>
      <c r="R19" s="7">
        <f>AVERAGE(J141:J143)</f>
        <v>0.69640108474821183</v>
      </c>
      <c r="S19" s="7">
        <f>STDEV(J141:J143)</f>
        <v>2.0125579299306872E-2</v>
      </c>
    </row>
    <row r="20" spans="1:19" ht="15.6" x14ac:dyDescent="0.3">
      <c r="A20" t="s">
        <v>4</v>
      </c>
      <c r="B20">
        <v>15</v>
      </c>
      <c r="C20">
        <v>16</v>
      </c>
      <c r="D20">
        <v>5410107.9921875</v>
      </c>
      <c r="E20">
        <v>0</v>
      </c>
      <c r="F20">
        <v>255.22</v>
      </c>
      <c r="G20" t="s">
        <v>7</v>
      </c>
      <c r="H20">
        <v>0.5</v>
      </c>
      <c r="I20">
        <f t="shared" si="2"/>
        <v>0.99999704258164446</v>
      </c>
      <c r="J20" s="6">
        <f t="shared" si="2"/>
        <v>0</v>
      </c>
      <c r="K20" s="2">
        <f>(J20*$N$3)/$N$2</f>
        <v>0</v>
      </c>
      <c r="M20" s="3">
        <v>120</v>
      </c>
      <c r="N20" s="5">
        <f>AVERAGE(K154:K156)</f>
        <v>2.5584735921954778</v>
      </c>
      <c r="O20" s="5">
        <f>STDEV(K154:K156)</f>
        <v>7.3342884054093865E-2</v>
      </c>
      <c r="Q20" s="3">
        <v>120</v>
      </c>
      <c r="R20" s="7">
        <f>AVERAGE(J155:J157)</f>
        <v>0.74156558161722352</v>
      </c>
      <c r="S20" s="7">
        <f>STDEV(J155:J157)</f>
        <v>2.913678121241535E-2</v>
      </c>
    </row>
    <row r="21" spans="1:19" x14ac:dyDescent="0.3">
      <c r="A21" t="s">
        <v>4</v>
      </c>
      <c r="B21">
        <v>15</v>
      </c>
      <c r="C21">
        <v>18</v>
      </c>
      <c r="D21">
        <v>4968653.4375</v>
      </c>
      <c r="E21">
        <v>0</v>
      </c>
      <c r="F21">
        <v>270.06</v>
      </c>
      <c r="G21" t="s">
        <v>7</v>
      </c>
      <c r="H21">
        <v>0.5</v>
      </c>
      <c r="I21">
        <f t="shared" si="2"/>
        <v>0.99999637730121094</v>
      </c>
      <c r="J21" s="6">
        <f t="shared" si="2"/>
        <v>0</v>
      </c>
      <c r="K21" s="2">
        <f>(J21*$N$3)/$N$2</f>
        <v>0</v>
      </c>
    </row>
    <row r="22" spans="1:19" x14ac:dyDescent="0.3">
      <c r="A22" t="s">
        <v>4</v>
      </c>
      <c r="B22">
        <v>2001</v>
      </c>
      <c r="C22">
        <v>2</v>
      </c>
      <c r="D22">
        <v>0</v>
      </c>
      <c r="E22">
        <v>0</v>
      </c>
      <c r="F22">
        <v>284.42</v>
      </c>
    </row>
    <row r="23" spans="1:19" x14ac:dyDescent="0.3">
      <c r="A23" t="s">
        <v>4</v>
      </c>
      <c r="B23">
        <v>2001</v>
      </c>
      <c r="C23">
        <v>3</v>
      </c>
      <c r="D23">
        <v>0</v>
      </c>
      <c r="E23">
        <v>0</v>
      </c>
      <c r="F23">
        <v>298.58</v>
      </c>
    </row>
    <row r="24" spans="1:19" x14ac:dyDescent="0.3">
      <c r="A24" t="s">
        <v>4</v>
      </c>
      <c r="B24">
        <v>15</v>
      </c>
      <c r="C24">
        <v>20</v>
      </c>
      <c r="D24">
        <v>5137733.3984375</v>
      </c>
      <c r="E24">
        <v>0</v>
      </c>
      <c r="F24">
        <v>313.54000000000002</v>
      </c>
      <c r="G24" t="s">
        <v>6</v>
      </c>
      <c r="H24">
        <v>0.5</v>
      </c>
      <c r="I24">
        <f t="shared" ref="I24:J26" si="3">D24/(C24+D24)</f>
        <v>0.99999610724796439</v>
      </c>
      <c r="J24" s="6">
        <f t="shared" si="3"/>
        <v>0</v>
      </c>
      <c r="K24" s="2">
        <f>(J24*$N$3)/$N$2</f>
        <v>0</v>
      </c>
    </row>
    <row r="25" spans="1:19" x14ac:dyDescent="0.3">
      <c r="A25" t="s">
        <v>4</v>
      </c>
      <c r="B25">
        <v>15</v>
      </c>
      <c r="C25">
        <v>22</v>
      </c>
      <c r="D25">
        <v>5045004.3129882803</v>
      </c>
      <c r="E25">
        <v>0</v>
      </c>
      <c r="F25">
        <v>328.52</v>
      </c>
      <c r="G25" t="s">
        <v>6</v>
      </c>
      <c r="H25">
        <v>0.5</v>
      </c>
      <c r="I25">
        <f t="shared" si="3"/>
        <v>0.99999563926952306</v>
      </c>
      <c r="J25" s="6">
        <f t="shared" si="3"/>
        <v>0</v>
      </c>
      <c r="K25" s="2">
        <f>(J25*$N$3)/$N$2</f>
        <v>0</v>
      </c>
    </row>
    <row r="26" spans="1:19" x14ac:dyDescent="0.3">
      <c r="A26" t="s">
        <v>4</v>
      </c>
      <c r="B26">
        <v>15</v>
      </c>
      <c r="C26">
        <v>24</v>
      </c>
      <c r="D26">
        <v>4961078.8105468797</v>
      </c>
      <c r="E26">
        <v>0</v>
      </c>
      <c r="F26">
        <v>343.37</v>
      </c>
      <c r="G26" t="s">
        <v>6</v>
      </c>
      <c r="H26">
        <v>0.5</v>
      </c>
      <c r="I26">
        <f t="shared" si="3"/>
        <v>0.99999516236592623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4</v>
      </c>
      <c r="B27">
        <v>2001</v>
      </c>
      <c r="C27">
        <v>2</v>
      </c>
      <c r="D27">
        <v>0</v>
      </c>
      <c r="E27">
        <v>0</v>
      </c>
      <c r="F27">
        <v>357.85</v>
      </c>
    </row>
    <row r="28" spans="1:19" x14ac:dyDescent="0.3">
      <c r="A28" t="s">
        <v>4</v>
      </c>
      <c r="B28">
        <v>2001</v>
      </c>
      <c r="C28">
        <v>3</v>
      </c>
      <c r="D28">
        <v>0</v>
      </c>
      <c r="E28">
        <v>0</v>
      </c>
      <c r="F28">
        <v>371.94</v>
      </c>
    </row>
    <row r="29" spans="1:19" x14ac:dyDescent="0.3">
      <c r="A29" t="s">
        <v>4</v>
      </c>
      <c r="B29">
        <v>2001</v>
      </c>
      <c r="C29">
        <v>2</v>
      </c>
      <c r="D29">
        <v>0</v>
      </c>
      <c r="E29">
        <v>0</v>
      </c>
      <c r="F29">
        <v>386.41</v>
      </c>
    </row>
    <row r="30" spans="1:19" x14ac:dyDescent="0.3">
      <c r="A30" t="s">
        <v>4</v>
      </c>
      <c r="B30">
        <v>2001</v>
      </c>
      <c r="C30">
        <v>3</v>
      </c>
      <c r="D30">
        <v>0</v>
      </c>
      <c r="E30">
        <v>0</v>
      </c>
      <c r="F30">
        <v>400.59</v>
      </c>
    </row>
    <row r="31" spans="1:19" x14ac:dyDescent="0.3">
      <c r="A31" t="s">
        <v>4</v>
      </c>
      <c r="B31">
        <v>14</v>
      </c>
      <c r="C31">
        <v>14</v>
      </c>
      <c r="D31">
        <v>4319196.7421875</v>
      </c>
      <c r="E31">
        <v>0</v>
      </c>
      <c r="F31">
        <v>415.56</v>
      </c>
      <c r="G31" t="s">
        <v>7</v>
      </c>
      <c r="H31">
        <v>1</v>
      </c>
      <c r="I31">
        <f t="shared" ref="I31:J33" si="4">D31/(C31+D31)</f>
        <v>0.99999675866707238</v>
      </c>
      <c r="J31" s="6">
        <f t="shared" si="4"/>
        <v>0</v>
      </c>
      <c r="K31" s="2">
        <f>(J31*$N$3)/$N$2</f>
        <v>0</v>
      </c>
    </row>
    <row r="32" spans="1:19" x14ac:dyDescent="0.3">
      <c r="A32" t="s">
        <v>4</v>
      </c>
      <c r="B32">
        <v>14</v>
      </c>
      <c r="C32">
        <v>16</v>
      </c>
      <c r="D32">
        <v>4372870.0473632803</v>
      </c>
      <c r="E32">
        <v>0</v>
      </c>
      <c r="F32">
        <v>430.4</v>
      </c>
      <c r="G32" t="s">
        <v>7</v>
      </c>
      <c r="H32">
        <v>1</v>
      </c>
      <c r="I32">
        <f t="shared" si="4"/>
        <v>0.99999634108919677</v>
      </c>
      <c r="J32" s="6">
        <f t="shared" si="4"/>
        <v>0</v>
      </c>
      <c r="K32" s="2">
        <f>(J32*$N$3)/$N$2</f>
        <v>0</v>
      </c>
    </row>
    <row r="33" spans="1:11" x14ac:dyDescent="0.3">
      <c r="A33" t="s">
        <v>4</v>
      </c>
      <c r="B33">
        <v>14</v>
      </c>
      <c r="C33">
        <v>18</v>
      </c>
      <c r="D33">
        <v>4429269.1425781297</v>
      </c>
      <c r="E33">
        <v>0</v>
      </c>
      <c r="F33">
        <v>445.4</v>
      </c>
      <c r="G33" t="s">
        <v>7</v>
      </c>
      <c r="H33">
        <v>1</v>
      </c>
      <c r="I33">
        <f t="shared" si="4"/>
        <v>0.99999593614064286</v>
      </c>
      <c r="J33" s="6">
        <f t="shared" si="4"/>
        <v>0</v>
      </c>
      <c r="K33" s="2">
        <f>(J33*$N$3)/$N$2</f>
        <v>0</v>
      </c>
    </row>
    <row r="34" spans="1:11" x14ac:dyDescent="0.3">
      <c r="A34" t="s">
        <v>4</v>
      </c>
      <c r="B34">
        <v>2001</v>
      </c>
      <c r="C34">
        <v>2</v>
      </c>
      <c r="D34">
        <v>0</v>
      </c>
      <c r="E34">
        <v>0</v>
      </c>
      <c r="F34">
        <v>459.78</v>
      </c>
    </row>
    <row r="35" spans="1:11" x14ac:dyDescent="0.3">
      <c r="A35" t="s">
        <v>4</v>
      </c>
      <c r="B35">
        <v>2001</v>
      </c>
      <c r="C35">
        <v>3</v>
      </c>
      <c r="D35">
        <v>0</v>
      </c>
      <c r="E35">
        <v>0</v>
      </c>
      <c r="F35">
        <v>473.98</v>
      </c>
    </row>
    <row r="36" spans="1:11" x14ac:dyDescent="0.3">
      <c r="A36" t="s">
        <v>4</v>
      </c>
      <c r="B36">
        <v>14</v>
      </c>
      <c r="C36">
        <v>20</v>
      </c>
      <c r="D36">
        <v>4912278.4921875</v>
      </c>
      <c r="E36">
        <v>39682.567871093801</v>
      </c>
      <c r="F36">
        <v>488.86</v>
      </c>
      <c r="G36" t="s">
        <v>6</v>
      </c>
      <c r="H36">
        <v>1</v>
      </c>
      <c r="I36">
        <f t="shared" ref="I36:J38" si="5">D36/(C36+D36)</f>
        <v>0.9999959285861737</v>
      </c>
      <c r="J36" s="6">
        <f t="shared" si="5"/>
        <v>8.0135056374260466E-3</v>
      </c>
      <c r="K36" s="2">
        <f>(J36*$N$3)/$N$2</f>
        <v>2.7527309441539853E-2</v>
      </c>
    </row>
    <row r="37" spans="1:11" x14ac:dyDescent="0.3">
      <c r="A37" t="s">
        <v>4</v>
      </c>
      <c r="B37">
        <v>14</v>
      </c>
      <c r="C37">
        <v>22</v>
      </c>
      <c r="D37">
        <v>3989250.07958984</v>
      </c>
      <c r="E37">
        <v>41986.4521484375</v>
      </c>
      <c r="F37">
        <v>503.83</v>
      </c>
      <c r="G37" t="s">
        <v>6</v>
      </c>
      <c r="H37">
        <v>1</v>
      </c>
      <c r="I37">
        <f t="shared" si="5"/>
        <v>0.99999448520944145</v>
      </c>
      <c r="J37" s="6">
        <f t="shared" si="5"/>
        <v>1.0415278740871316E-2</v>
      </c>
      <c r="K37" s="2">
        <f>(J37*$N$3)/$N$2</f>
        <v>3.5777675064061765E-2</v>
      </c>
    </row>
    <row r="38" spans="1:11" x14ac:dyDescent="0.3">
      <c r="A38" t="s">
        <v>4</v>
      </c>
      <c r="B38">
        <v>14</v>
      </c>
      <c r="C38">
        <v>24</v>
      </c>
      <c r="D38">
        <v>4787835.69921875</v>
      </c>
      <c r="E38">
        <v>38543.693359375</v>
      </c>
      <c r="F38">
        <v>518.70000000000005</v>
      </c>
      <c r="G38" t="s">
        <v>6</v>
      </c>
      <c r="H38">
        <v>1</v>
      </c>
      <c r="I38">
        <f t="shared" si="5"/>
        <v>0.99999498732178727</v>
      </c>
      <c r="J38" s="6">
        <f t="shared" si="5"/>
        <v>7.9860471430502223E-3</v>
      </c>
      <c r="K38" s="2">
        <f>(J38*$N$3)/$N$2</f>
        <v>2.7432986369256489E-2</v>
      </c>
    </row>
    <row r="39" spans="1:11" x14ac:dyDescent="0.3">
      <c r="A39" t="s">
        <v>4</v>
      </c>
      <c r="B39">
        <v>2001</v>
      </c>
      <c r="C39">
        <v>2</v>
      </c>
      <c r="D39">
        <v>0</v>
      </c>
      <c r="E39">
        <v>0</v>
      </c>
      <c r="F39">
        <v>533.16999999999996</v>
      </c>
    </row>
    <row r="40" spans="1:11" x14ac:dyDescent="0.3">
      <c r="A40" t="s">
        <v>4</v>
      </c>
      <c r="B40">
        <v>2001</v>
      </c>
      <c r="C40">
        <v>3</v>
      </c>
      <c r="D40">
        <v>0</v>
      </c>
      <c r="E40">
        <v>0</v>
      </c>
      <c r="F40">
        <v>547.34</v>
      </c>
    </row>
    <row r="41" spans="1:11" x14ac:dyDescent="0.3">
      <c r="A41" t="s">
        <v>4</v>
      </c>
      <c r="B41">
        <v>2001</v>
      </c>
      <c r="C41">
        <v>2</v>
      </c>
      <c r="D41">
        <v>0</v>
      </c>
      <c r="E41">
        <v>0</v>
      </c>
      <c r="F41">
        <v>561.70000000000005</v>
      </c>
    </row>
    <row r="42" spans="1:11" x14ac:dyDescent="0.3">
      <c r="A42" t="s">
        <v>4</v>
      </c>
      <c r="B42">
        <v>2001</v>
      </c>
      <c r="C42">
        <v>3</v>
      </c>
      <c r="D42">
        <v>0</v>
      </c>
      <c r="E42">
        <v>0</v>
      </c>
      <c r="F42">
        <v>575.9</v>
      </c>
    </row>
    <row r="43" spans="1:11" x14ac:dyDescent="0.3">
      <c r="A43" t="s">
        <v>4</v>
      </c>
      <c r="B43">
        <v>13</v>
      </c>
      <c r="C43">
        <v>14</v>
      </c>
      <c r="D43">
        <v>4612067.8481445303</v>
      </c>
      <c r="E43">
        <v>0</v>
      </c>
      <c r="F43">
        <v>590.75</v>
      </c>
      <c r="G43" t="s">
        <v>7</v>
      </c>
      <c r="H43">
        <v>1.5</v>
      </c>
      <c r="I43">
        <f t="shared" ref="I43:J45" si="6">D43/(C43+D43)</f>
        <v>0.99999696449446018</v>
      </c>
      <c r="J43" s="6">
        <f t="shared" si="6"/>
        <v>0</v>
      </c>
      <c r="K43" s="2">
        <f>(J43*$N$3)/$N$2</f>
        <v>0</v>
      </c>
    </row>
    <row r="44" spans="1:11" x14ac:dyDescent="0.3">
      <c r="A44" t="s">
        <v>4</v>
      </c>
      <c r="B44">
        <v>13</v>
      </c>
      <c r="C44">
        <v>16</v>
      </c>
      <c r="D44">
        <v>4580108.2856445303</v>
      </c>
      <c r="E44">
        <v>0</v>
      </c>
      <c r="F44">
        <v>605.73</v>
      </c>
      <c r="G44" t="s">
        <v>7</v>
      </c>
      <c r="H44">
        <v>1.5</v>
      </c>
      <c r="I44">
        <f t="shared" si="6"/>
        <v>0.99999650664501616</v>
      </c>
      <c r="J44" s="6">
        <f t="shared" si="6"/>
        <v>0</v>
      </c>
      <c r="K44" s="2">
        <f>(J44*$N$3)/$N$2</f>
        <v>0</v>
      </c>
    </row>
    <row r="45" spans="1:11" x14ac:dyDescent="0.3">
      <c r="A45" t="s">
        <v>4</v>
      </c>
      <c r="B45">
        <v>13</v>
      </c>
      <c r="C45">
        <v>18</v>
      </c>
      <c r="D45">
        <v>4505126.62890625</v>
      </c>
      <c r="E45">
        <v>0</v>
      </c>
      <c r="F45">
        <v>620.58000000000004</v>
      </c>
      <c r="G45" t="s">
        <v>7</v>
      </c>
      <c r="H45">
        <v>1.5</v>
      </c>
      <c r="I45">
        <f t="shared" si="6"/>
        <v>0.99999600456778137</v>
      </c>
      <c r="J45" s="6">
        <f t="shared" si="6"/>
        <v>0</v>
      </c>
      <c r="K45" s="2">
        <f>(J45*$N$3)/$N$2</f>
        <v>0</v>
      </c>
    </row>
    <row r="46" spans="1:11" x14ac:dyDescent="0.3">
      <c r="A46" t="s">
        <v>4</v>
      </c>
      <c r="B46">
        <v>2001</v>
      </c>
      <c r="C46">
        <v>2</v>
      </c>
      <c r="D46">
        <v>0</v>
      </c>
      <c r="E46">
        <v>0</v>
      </c>
      <c r="F46">
        <v>635.04</v>
      </c>
    </row>
    <row r="47" spans="1:11" x14ac:dyDescent="0.3">
      <c r="A47" t="s">
        <v>4</v>
      </c>
      <c r="B47">
        <v>2001</v>
      </c>
      <c r="C47">
        <v>3</v>
      </c>
      <c r="D47">
        <v>0</v>
      </c>
      <c r="E47">
        <v>0</v>
      </c>
      <c r="F47">
        <v>649.27</v>
      </c>
    </row>
    <row r="48" spans="1:11" x14ac:dyDescent="0.3">
      <c r="A48" t="s">
        <v>4</v>
      </c>
      <c r="B48">
        <v>13</v>
      </c>
      <c r="C48">
        <v>20</v>
      </c>
      <c r="D48">
        <v>4819108.3935546903</v>
      </c>
      <c r="E48">
        <v>70930.373046875</v>
      </c>
      <c r="F48">
        <v>664.14</v>
      </c>
      <c r="G48" t="s">
        <v>6</v>
      </c>
      <c r="H48">
        <v>1.5</v>
      </c>
      <c r="I48">
        <f t="shared" ref="I48:J50" si="7">D48/(C48+D48)</f>
        <v>0.99999584987193391</v>
      </c>
      <c r="J48" s="6">
        <f t="shared" si="7"/>
        <v>1.4505073769828116E-2</v>
      </c>
      <c r="K48" s="2">
        <f>(J48*$N$3)/$N$2</f>
        <v>4.9826589285669104E-2</v>
      </c>
    </row>
    <row r="49" spans="1:11" x14ac:dyDescent="0.3">
      <c r="A49" t="s">
        <v>4</v>
      </c>
      <c r="B49">
        <v>13</v>
      </c>
      <c r="C49">
        <v>22</v>
      </c>
      <c r="D49">
        <v>5022842.17333984</v>
      </c>
      <c r="E49">
        <v>72668.7470703125</v>
      </c>
      <c r="F49">
        <v>678.99</v>
      </c>
      <c r="G49" t="s">
        <v>6</v>
      </c>
      <c r="H49">
        <v>1.5</v>
      </c>
      <c r="I49">
        <f t="shared" si="7"/>
        <v>0.99999562002888376</v>
      </c>
      <c r="J49" s="6">
        <f t="shared" si="7"/>
        <v>1.426132692194548E-2</v>
      </c>
      <c r="K49" s="2">
        <f>(J49*$N$3)/$N$2</f>
        <v>4.8989290953247826E-2</v>
      </c>
    </row>
    <row r="50" spans="1:11" x14ac:dyDescent="0.3">
      <c r="A50" t="s">
        <v>4</v>
      </c>
      <c r="B50">
        <v>13</v>
      </c>
      <c r="C50">
        <v>24</v>
      </c>
      <c r="D50">
        <v>4864777.38818359</v>
      </c>
      <c r="E50">
        <v>65861.790527343794</v>
      </c>
      <c r="F50">
        <v>693.84</v>
      </c>
      <c r="G50" t="s">
        <v>6</v>
      </c>
      <c r="H50">
        <v>1.5</v>
      </c>
      <c r="I50">
        <f t="shared" si="7"/>
        <v>0.99999506660229576</v>
      </c>
      <c r="J50" s="6">
        <f t="shared" si="7"/>
        <v>1.3357657727565192E-2</v>
      </c>
      <c r="K50" s="2">
        <f>(J50*$N$3)/$N$2</f>
        <v>4.5885083796979663E-2</v>
      </c>
    </row>
    <row r="51" spans="1:11" x14ac:dyDescent="0.3">
      <c r="A51" t="s">
        <v>4</v>
      </c>
      <c r="B51">
        <v>2001</v>
      </c>
      <c r="C51">
        <v>2</v>
      </c>
      <c r="D51">
        <v>0</v>
      </c>
      <c r="E51">
        <v>0</v>
      </c>
      <c r="F51">
        <v>708.32</v>
      </c>
    </row>
    <row r="52" spans="1:11" x14ac:dyDescent="0.3">
      <c r="A52" t="s">
        <v>4</v>
      </c>
      <c r="B52">
        <v>2001</v>
      </c>
      <c r="C52">
        <v>3</v>
      </c>
      <c r="D52">
        <v>0</v>
      </c>
      <c r="E52">
        <v>0</v>
      </c>
      <c r="F52">
        <v>722.53</v>
      </c>
    </row>
    <row r="53" spans="1:11" x14ac:dyDescent="0.3">
      <c r="A53" t="s">
        <v>4</v>
      </c>
      <c r="B53">
        <v>2001</v>
      </c>
      <c r="C53">
        <v>2</v>
      </c>
      <c r="D53">
        <v>0</v>
      </c>
      <c r="E53">
        <v>0</v>
      </c>
      <c r="F53">
        <v>736.85</v>
      </c>
    </row>
    <row r="54" spans="1:11" x14ac:dyDescent="0.3">
      <c r="A54" t="s">
        <v>4</v>
      </c>
      <c r="B54">
        <v>2001</v>
      </c>
      <c r="C54">
        <v>3</v>
      </c>
      <c r="D54">
        <v>0</v>
      </c>
      <c r="E54">
        <v>0</v>
      </c>
      <c r="F54">
        <v>751.18</v>
      </c>
    </row>
    <row r="55" spans="1:11" x14ac:dyDescent="0.3">
      <c r="A55" t="s">
        <v>4</v>
      </c>
      <c r="B55">
        <v>12</v>
      </c>
      <c r="C55">
        <v>14</v>
      </c>
      <c r="D55">
        <v>4193284.70458984</v>
      </c>
      <c r="E55">
        <v>0</v>
      </c>
      <c r="F55">
        <v>766.09</v>
      </c>
      <c r="G55" t="s">
        <v>7</v>
      </c>
      <c r="H55">
        <v>3</v>
      </c>
      <c r="I55">
        <f t="shared" ref="I55:J57" si="8">D55/(C55+D55)</f>
        <v>0.99999666133967879</v>
      </c>
      <c r="J55" s="6">
        <f t="shared" si="8"/>
        <v>0</v>
      </c>
      <c r="K55" s="2">
        <f>(J55*$N$3)/$N$2</f>
        <v>0</v>
      </c>
    </row>
    <row r="56" spans="1:11" x14ac:dyDescent="0.3">
      <c r="A56" t="s">
        <v>4</v>
      </c>
      <c r="B56">
        <v>12</v>
      </c>
      <c r="C56">
        <v>16</v>
      </c>
      <c r="D56">
        <v>4181773.3105468801</v>
      </c>
      <c r="E56">
        <v>0</v>
      </c>
      <c r="F56">
        <v>780.94</v>
      </c>
      <c r="G56" t="s">
        <v>7</v>
      </c>
      <c r="H56">
        <v>3</v>
      </c>
      <c r="I56">
        <f t="shared" si="8"/>
        <v>0.99999617388662798</v>
      </c>
      <c r="J56" s="6">
        <f t="shared" si="8"/>
        <v>0</v>
      </c>
      <c r="K56" s="2">
        <f>(J56*$N$3)/$N$2</f>
        <v>0</v>
      </c>
    </row>
    <row r="57" spans="1:11" x14ac:dyDescent="0.3">
      <c r="A57" t="s">
        <v>4</v>
      </c>
      <c r="B57">
        <v>12</v>
      </c>
      <c r="C57">
        <v>18</v>
      </c>
      <c r="D57">
        <v>4403330.33740234</v>
      </c>
      <c r="E57">
        <v>0</v>
      </c>
      <c r="F57">
        <v>795.89</v>
      </c>
      <c r="G57" t="s">
        <v>7</v>
      </c>
      <c r="H57">
        <v>3</v>
      </c>
      <c r="I57">
        <f t="shared" si="8"/>
        <v>0.9999959122016655</v>
      </c>
      <c r="J57" s="6">
        <f t="shared" si="8"/>
        <v>0</v>
      </c>
      <c r="K57" s="2">
        <f>(J57*$N$3)/$N$2</f>
        <v>0</v>
      </c>
    </row>
    <row r="58" spans="1:11" x14ac:dyDescent="0.3">
      <c r="A58" t="s">
        <v>4</v>
      </c>
      <c r="B58">
        <v>2001</v>
      </c>
      <c r="C58">
        <v>2</v>
      </c>
      <c r="D58">
        <v>0</v>
      </c>
      <c r="E58">
        <v>0</v>
      </c>
      <c r="F58">
        <v>810.23</v>
      </c>
    </row>
    <row r="59" spans="1:11" x14ac:dyDescent="0.3">
      <c r="A59" t="s">
        <v>4</v>
      </c>
      <c r="B59">
        <v>2001</v>
      </c>
      <c r="C59">
        <v>3</v>
      </c>
      <c r="D59">
        <v>0</v>
      </c>
      <c r="E59">
        <v>0</v>
      </c>
      <c r="F59">
        <v>824.43</v>
      </c>
    </row>
    <row r="60" spans="1:11" x14ac:dyDescent="0.3">
      <c r="A60" t="s">
        <v>4</v>
      </c>
      <c r="B60">
        <v>12</v>
      </c>
      <c r="C60">
        <v>20</v>
      </c>
      <c r="D60">
        <v>4436384.5957031297</v>
      </c>
      <c r="E60">
        <v>184171.43652343799</v>
      </c>
      <c r="F60">
        <v>839.39</v>
      </c>
      <c r="G60" t="s">
        <v>6</v>
      </c>
      <c r="H60">
        <v>3</v>
      </c>
      <c r="I60">
        <f t="shared" ref="I60:J62" si="9">D60/(C60+D60)</f>
        <v>0.99999549184490089</v>
      </c>
      <c r="J60" s="6">
        <f t="shared" si="9"/>
        <v>3.9859150119361045E-2</v>
      </c>
      <c r="K60" s="2">
        <f>(J60*$N$3)/$N$2</f>
        <v>0.13692074468482801</v>
      </c>
    </row>
    <row r="61" spans="1:11" x14ac:dyDescent="0.3">
      <c r="A61" t="s">
        <v>4</v>
      </c>
      <c r="B61">
        <v>12</v>
      </c>
      <c r="C61">
        <v>22</v>
      </c>
      <c r="D61">
        <v>4570785.08203125</v>
      </c>
      <c r="E61">
        <v>186221.908203125</v>
      </c>
      <c r="F61">
        <v>854.28</v>
      </c>
      <c r="G61" t="s">
        <v>6</v>
      </c>
      <c r="H61">
        <v>3</v>
      </c>
      <c r="I61">
        <f t="shared" si="9"/>
        <v>0.99999518684564781</v>
      </c>
      <c r="J61" s="6">
        <f t="shared" si="9"/>
        <v>3.9146864527510386E-2</v>
      </c>
      <c r="K61" s="2">
        <f>(J61*$N$3)/$N$2</f>
        <v>0.13447396211740206</v>
      </c>
    </row>
    <row r="62" spans="1:11" x14ac:dyDescent="0.3">
      <c r="A62" t="s">
        <v>4</v>
      </c>
      <c r="B62">
        <v>12</v>
      </c>
      <c r="C62">
        <v>24</v>
      </c>
      <c r="D62">
        <v>4361012.4160156297</v>
      </c>
      <c r="E62">
        <v>170582.99609375</v>
      </c>
      <c r="F62">
        <v>869.23</v>
      </c>
      <c r="G62" t="s">
        <v>6</v>
      </c>
      <c r="H62">
        <v>3</v>
      </c>
      <c r="I62">
        <f t="shared" si="9"/>
        <v>0.99999449672102902</v>
      </c>
      <c r="J62" s="6">
        <f t="shared" si="9"/>
        <v>3.7643033099979802E-2</v>
      </c>
      <c r="K62" s="2">
        <f>(J62*$N$3)/$N$2</f>
        <v>0.12930812896939628</v>
      </c>
    </row>
    <row r="63" spans="1:11" x14ac:dyDescent="0.3">
      <c r="A63" t="s">
        <v>4</v>
      </c>
      <c r="B63">
        <v>2001</v>
      </c>
      <c r="C63">
        <v>2</v>
      </c>
      <c r="D63">
        <v>0</v>
      </c>
      <c r="E63">
        <v>0</v>
      </c>
      <c r="F63">
        <v>883.57</v>
      </c>
    </row>
    <row r="64" spans="1:11" x14ac:dyDescent="0.3">
      <c r="A64" t="s">
        <v>4</v>
      </c>
      <c r="B64">
        <v>2001</v>
      </c>
      <c r="C64">
        <v>3</v>
      </c>
      <c r="D64">
        <v>0</v>
      </c>
      <c r="E64">
        <v>0</v>
      </c>
      <c r="F64">
        <v>897.78</v>
      </c>
    </row>
    <row r="65" spans="1:11" x14ac:dyDescent="0.3">
      <c r="A65" t="s">
        <v>4</v>
      </c>
      <c r="B65">
        <v>2001</v>
      </c>
      <c r="C65">
        <v>2</v>
      </c>
      <c r="D65">
        <v>0</v>
      </c>
      <c r="E65">
        <v>0</v>
      </c>
      <c r="F65">
        <v>912.26</v>
      </c>
    </row>
    <row r="66" spans="1:11" x14ac:dyDescent="0.3">
      <c r="A66" t="s">
        <v>4</v>
      </c>
      <c r="B66">
        <v>2001</v>
      </c>
      <c r="C66">
        <v>3</v>
      </c>
      <c r="D66">
        <v>0</v>
      </c>
      <c r="E66">
        <v>0</v>
      </c>
      <c r="F66">
        <v>926.47</v>
      </c>
    </row>
    <row r="67" spans="1:11" x14ac:dyDescent="0.3">
      <c r="A67" t="s">
        <v>4</v>
      </c>
      <c r="B67">
        <v>11</v>
      </c>
      <c r="C67">
        <v>14</v>
      </c>
      <c r="D67">
        <v>4503713.6357421903</v>
      </c>
      <c r="E67">
        <v>0</v>
      </c>
      <c r="F67">
        <v>941.3</v>
      </c>
      <c r="G67" t="s">
        <v>7</v>
      </c>
      <c r="H67">
        <v>5</v>
      </c>
      <c r="I67">
        <f t="shared" ref="I67:J69" si="10">D67/(C67+D67)</f>
        <v>0.99999689146388671</v>
      </c>
      <c r="J67" s="6">
        <f t="shared" si="10"/>
        <v>0</v>
      </c>
      <c r="K67" s="2">
        <f>(J67*$N$3)/$N$2</f>
        <v>0</v>
      </c>
    </row>
    <row r="68" spans="1:11" x14ac:dyDescent="0.3">
      <c r="A68" t="s">
        <v>4</v>
      </c>
      <c r="B68">
        <v>11</v>
      </c>
      <c r="C68">
        <v>16</v>
      </c>
      <c r="D68">
        <v>4275921.29296875</v>
      </c>
      <c r="E68">
        <v>0</v>
      </c>
      <c r="F68">
        <v>956.29</v>
      </c>
      <c r="G68" t="s">
        <v>7</v>
      </c>
      <c r="H68">
        <v>5</v>
      </c>
      <c r="I68">
        <f t="shared" si="10"/>
        <v>0.99999625813034576</v>
      </c>
      <c r="J68" s="6">
        <f t="shared" si="10"/>
        <v>0</v>
      </c>
      <c r="K68" s="2">
        <f>(J68*$N$3)/$N$2</f>
        <v>0</v>
      </c>
    </row>
    <row r="69" spans="1:11" x14ac:dyDescent="0.3">
      <c r="A69" t="s">
        <v>4</v>
      </c>
      <c r="B69">
        <v>11</v>
      </c>
      <c r="C69">
        <v>18</v>
      </c>
      <c r="D69">
        <v>4166931.5380859398</v>
      </c>
      <c r="E69">
        <v>0</v>
      </c>
      <c r="F69">
        <v>971</v>
      </c>
      <c r="G69" t="s">
        <v>7</v>
      </c>
      <c r="H69">
        <v>5</v>
      </c>
      <c r="I69">
        <f t="shared" si="10"/>
        <v>0.99999568029326114</v>
      </c>
      <c r="J69" s="6">
        <f t="shared" si="10"/>
        <v>0</v>
      </c>
      <c r="K69" s="2">
        <f>(J69*$N$3)/$N$2</f>
        <v>0</v>
      </c>
    </row>
    <row r="70" spans="1:11" x14ac:dyDescent="0.3">
      <c r="A70" t="s">
        <v>4</v>
      </c>
      <c r="B70">
        <v>2001</v>
      </c>
      <c r="C70">
        <v>2</v>
      </c>
      <c r="D70">
        <v>0</v>
      </c>
      <c r="E70">
        <v>0</v>
      </c>
      <c r="F70">
        <v>985.34</v>
      </c>
    </row>
    <row r="71" spans="1:11" x14ac:dyDescent="0.3">
      <c r="A71" t="s">
        <v>4</v>
      </c>
      <c r="B71">
        <v>2001</v>
      </c>
      <c r="C71">
        <v>3</v>
      </c>
      <c r="D71">
        <v>0</v>
      </c>
      <c r="E71">
        <v>0</v>
      </c>
      <c r="F71">
        <v>999.52</v>
      </c>
    </row>
    <row r="72" spans="1:11" x14ac:dyDescent="0.3">
      <c r="A72" t="s">
        <v>4</v>
      </c>
      <c r="B72">
        <v>11</v>
      </c>
      <c r="C72">
        <v>20</v>
      </c>
      <c r="D72">
        <v>4396032.2880859403</v>
      </c>
      <c r="E72">
        <v>337043.87890625</v>
      </c>
      <c r="F72">
        <v>1014.48</v>
      </c>
      <c r="G72" t="s">
        <v>6</v>
      </c>
      <c r="H72">
        <v>5</v>
      </c>
      <c r="I72">
        <f t="shared" ref="I72:J74" si="11">D72/(C72+D72)</f>
        <v>0.99999545046357752</v>
      </c>
      <c r="J72" s="6">
        <f t="shared" si="11"/>
        <v>7.121032221216865E-2</v>
      </c>
      <c r="K72" s="2">
        <f>(J72*$N$3)/$N$2</f>
        <v>0.24461561065248771</v>
      </c>
    </row>
    <row r="73" spans="1:11" x14ac:dyDescent="0.3">
      <c r="A73" t="s">
        <v>4</v>
      </c>
      <c r="B73">
        <v>11</v>
      </c>
      <c r="C73">
        <v>22</v>
      </c>
      <c r="D73">
        <v>4306730.54150391</v>
      </c>
      <c r="E73">
        <v>287112.75390625</v>
      </c>
      <c r="F73">
        <v>1029.23</v>
      </c>
      <c r="G73" t="s">
        <v>6</v>
      </c>
      <c r="H73">
        <v>5</v>
      </c>
      <c r="I73">
        <f t="shared" si="11"/>
        <v>0.99999489174272538</v>
      </c>
      <c r="J73" s="6">
        <f t="shared" si="11"/>
        <v>6.2499466229749841E-2</v>
      </c>
      <c r="K73" s="2">
        <f>(J73*$N$3)/$N$2</f>
        <v>0.21469282292662156</v>
      </c>
    </row>
    <row r="74" spans="1:11" x14ac:dyDescent="0.3">
      <c r="A74" t="s">
        <v>4</v>
      </c>
      <c r="B74">
        <v>11</v>
      </c>
      <c r="C74">
        <v>24</v>
      </c>
      <c r="D74">
        <v>4050631.6142578102</v>
      </c>
      <c r="E74">
        <v>260914.01953125</v>
      </c>
      <c r="F74">
        <v>1044.08</v>
      </c>
      <c r="G74" t="s">
        <v>6</v>
      </c>
      <c r="H74">
        <v>5</v>
      </c>
      <c r="I74">
        <f t="shared" si="11"/>
        <v>0.99999407503320803</v>
      </c>
      <c r="J74" s="6">
        <f t="shared" si="11"/>
        <v>6.0515193782595837E-2</v>
      </c>
      <c r="K74" s="2">
        <f>(J74*$N$3)/$N$2</f>
        <v>0.20787661986387884</v>
      </c>
    </row>
    <row r="75" spans="1:11" x14ac:dyDescent="0.3">
      <c r="A75" t="s">
        <v>4</v>
      </c>
      <c r="B75">
        <v>2001</v>
      </c>
      <c r="C75">
        <v>2</v>
      </c>
      <c r="D75">
        <v>0</v>
      </c>
      <c r="E75">
        <v>0</v>
      </c>
      <c r="F75">
        <v>1058.42</v>
      </c>
    </row>
    <row r="76" spans="1:11" x14ac:dyDescent="0.3">
      <c r="A76" t="s">
        <v>4</v>
      </c>
      <c r="B76">
        <v>2001</v>
      </c>
      <c r="C76">
        <v>3</v>
      </c>
      <c r="D76">
        <v>0</v>
      </c>
      <c r="E76">
        <v>0</v>
      </c>
      <c r="F76">
        <v>1072.5999999999999</v>
      </c>
    </row>
    <row r="77" spans="1:11" x14ac:dyDescent="0.3">
      <c r="A77" t="s">
        <v>4</v>
      </c>
      <c r="B77">
        <v>2001</v>
      </c>
      <c r="C77">
        <v>2</v>
      </c>
      <c r="D77">
        <v>0</v>
      </c>
      <c r="E77">
        <v>0</v>
      </c>
      <c r="F77">
        <v>1087.06</v>
      </c>
    </row>
    <row r="78" spans="1:11" x14ac:dyDescent="0.3">
      <c r="A78" t="s">
        <v>4</v>
      </c>
      <c r="B78">
        <v>2001</v>
      </c>
      <c r="C78">
        <v>3</v>
      </c>
      <c r="D78">
        <v>0</v>
      </c>
      <c r="E78">
        <v>0</v>
      </c>
      <c r="F78">
        <v>1101.28</v>
      </c>
    </row>
    <row r="79" spans="1:11" x14ac:dyDescent="0.3">
      <c r="A79" t="s">
        <v>4</v>
      </c>
      <c r="B79">
        <v>10</v>
      </c>
      <c r="C79">
        <v>14</v>
      </c>
      <c r="D79">
        <v>4297246.6015625</v>
      </c>
      <c r="E79">
        <v>0</v>
      </c>
      <c r="F79">
        <v>1115.99</v>
      </c>
      <c r="G79" t="s">
        <v>7</v>
      </c>
      <c r="H79">
        <v>10</v>
      </c>
      <c r="I79">
        <f t="shared" ref="I79:J81" si="12">D79/(C79+D79)</f>
        <v>0.99999674211054479</v>
      </c>
      <c r="J79" s="6">
        <f t="shared" si="12"/>
        <v>0</v>
      </c>
      <c r="K79" s="2">
        <f>(J79*$N$3)/$N$2</f>
        <v>0</v>
      </c>
    </row>
    <row r="80" spans="1:11" x14ac:dyDescent="0.3">
      <c r="A80" t="s">
        <v>4</v>
      </c>
      <c r="B80">
        <v>10</v>
      </c>
      <c r="C80">
        <v>16</v>
      </c>
      <c r="D80">
        <v>4194636.2001953097</v>
      </c>
      <c r="E80">
        <v>0</v>
      </c>
      <c r="F80">
        <v>1130.6300000000001</v>
      </c>
      <c r="G80" t="s">
        <v>7</v>
      </c>
      <c r="H80">
        <v>10</v>
      </c>
      <c r="I80">
        <f t="shared" si="12"/>
        <v>0.9999961856193943</v>
      </c>
      <c r="J80" s="6">
        <f t="shared" si="12"/>
        <v>0</v>
      </c>
      <c r="K80" s="2">
        <f>(J80*$N$3)/$N$2</f>
        <v>0</v>
      </c>
    </row>
    <row r="81" spans="1:11" x14ac:dyDescent="0.3">
      <c r="A81" t="s">
        <v>4</v>
      </c>
      <c r="B81">
        <v>10</v>
      </c>
      <c r="C81">
        <v>18</v>
      </c>
      <c r="D81">
        <v>4211819.4873046903</v>
      </c>
      <c r="E81">
        <v>0</v>
      </c>
      <c r="F81">
        <v>1145.3399999999999</v>
      </c>
      <c r="G81" t="s">
        <v>7</v>
      </c>
      <c r="H81">
        <v>10</v>
      </c>
      <c r="I81">
        <f t="shared" si="12"/>
        <v>0.99999572633083444</v>
      </c>
      <c r="J81" s="6">
        <f t="shared" si="12"/>
        <v>0</v>
      </c>
      <c r="K81" s="2">
        <f>(J81*$N$3)/$N$2</f>
        <v>0</v>
      </c>
    </row>
    <row r="82" spans="1:11" x14ac:dyDescent="0.3">
      <c r="A82" t="s">
        <v>4</v>
      </c>
      <c r="B82">
        <v>2001</v>
      </c>
      <c r="C82">
        <v>2</v>
      </c>
      <c r="D82">
        <v>0</v>
      </c>
      <c r="E82">
        <v>0</v>
      </c>
      <c r="F82">
        <v>1159.7</v>
      </c>
    </row>
    <row r="83" spans="1:11" x14ac:dyDescent="0.3">
      <c r="A83" t="s">
        <v>4</v>
      </c>
      <c r="B83">
        <v>2001</v>
      </c>
      <c r="C83">
        <v>3</v>
      </c>
      <c r="D83">
        <v>0</v>
      </c>
      <c r="E83">
        <v>0</v>
      </c>
      <c r="F83">
        <v>1174.03</v>
      </c>
    </row>
    <row r="84" spans="1:11" x14ac:dyDescent="0.3">
      <c r="A84" t="s">
        <v>4</v>
      </c>
      <c r="B84">
        <v>10</v>
      </c>
      <c r="C84">
        <v>20</v>
      </c>
      <c r="D84">
        <v>4076574.9462890602</v>
      </c>
      <c r="E84">
        <v>549895.69140625</v>
      </c>
      <c r="F84">
        <v>1188.72</v>
      </c>
      <c r="G84" t="s">
        <v>6</v>
      </c>
      <c r="H84">
        <v>10</v>
      </c>
      <c r="I84">
        <f t="shared" ref="I84:J86" si="13">D84/(C84+D84)</f>
        <v>0.99999509394475938</v>
      </c>
      <c r="J84" s="6">
        <f t="shared" si="13"/>
        <v>0.11885857156983538</v>
      </c>
      <c r="K84" s="2">
        <f>(J84*$N$3)/$N$2</f>
        <v>0.40829280310248789</v>
      </c>
    </row>
    <row r="85" spans="1:11" x14ac:dyDescent="0.3">
      <c r="A85" t="s">
        <v>4</v>
      </c>
      <c r="B85">
        <v>10</v>
      </c>
      <c r="C85">
        <v>22</v>
      </c>
      <c r="D85">
        <v>3997910.1293945299</v>
      </c>
      <c r="E85">
        <v>537620.98925781297</v>
      </c>
      <c r="F85">
        <v>1203.45</v>
      </c>
      <c r="G85" t="s">
        <v>6</v>
      </c>
      <c r="H85">
        <v>10</v>
      </c>
      <c r="I85">
        <f t="shared" si="13"/>
        <v>0.99999449715520727</v>
      </c>
      <c r="J85" s="6">
        <f t="shared" si="13"/>
        <v>0.11853539865416204</v>
      </c>
      <c r="K85" s="2">
        <f>(J85*$N$3)/$N$2</f>
        <v>0.40718266713261769</v>
      </c>
    </row>
    <row r="86" spans="1:11" x14ac:dyDescent="0.3">
      <c r="A86" t="s">
        <v>4</v>
      </c>
      <c r="B86">
        <v>10</v>
      </c>
      <c r="C86">
        <v>24</v>
      </c>
      <c r="D86">
        <v>3976308.9404296898</v>
      </c>
      <c r="E86">
        <v>493917.029296875</v>
      </c>
      <c r="F86">
        <v>1218.1199999999999</v>
      </c>
      <c r="G86" t="s">
        <v>6</v>
      </c>
      <c r="H86">
        <v>10</v>
      </c>
      <c r="I86">
        <f t="shared" si="13"/>
        <v>0.99999396428811183</v>
      </c>
      <c r="J86" s="6">
        <f t="shared" si="13"/>
        <v>0.11049039414154874</v>
      </c>
      <c r="K86" s="2">
        <f>(J86*$N$3)/$N$2</f>
        <v>0.37954715544806816</v>
      </c>
    </row>
    <row r="87" spans="1:11" x14ac:dyDescent="0.3">
      <c r="A87" t="s">
        <v>4</v>
      </c>
      <c r="B87">
        <v>2001</v>
      </c>
      <c r="C87">
        <v>2</v>
      </c>
      <c r="D87">
        <v>0</v>
      </c>
      <c r="E87">
        <v>0</v>
      </c>
      <c r="F87">
        <v>1232.47</v>
      </c>
    </row>
    <row r="88" spans="1:11" x14ac:dyDescent="0.3">
      <c r="A88" t="s">
        <v>4</v>
      </c>
      <c r="B88">
        <v>2001</v>
      </c>
      <c r="C88">
        <v>3</v>
      </c>
      <c r="D88">
        <v>0</v>
      </c>
      <c r="E88">
        <v>0</v>
      </c>
      <c r="F88">
        <v>1246.68</v>
      </c>
    </row>
    <row r="89" spans="1:11" x14ac:dyDescent="0.3">
      <c r="A89" t="s">
        <v>4</v>
      </c>
      <c r="B89">
        <v>2001</v>
      </c>
      <c r="C89">
        <v>2</v>
      </c>
      <c r="D89">
        <v>0</v>
      </c>
      <c r="E89">
        <v>0</v>
      </c>
      <c r="F89">
        <v>1261.08</v>
      </c>
    </row>
    <row r="90" spans="1:11" x14ac:dyDescent="0.3">
      <c r="A90" t="s">
        <v>4</v>
      </c>
      <c r="B90">
        <v>2001</v>
      </c>
      <c r="C90">
        <v>3</v>
      </c>
      <c r="D90">
        <v>0</v>
      </c>
      <c r="E90">
        <v>0</v>
      </c>
      <c r="F90">
        <v>1275.27</v>
      </c>
    </row>
    <row r="91" spans="1:11" x14ac:dyDescent="0.3">
      <c r="A91" t="s">
        <v>4</v>
      </c>
      <c r="B91">
        <v>9</v>
      </c>
      <c r="C91">
        <v>14</v>
      </c>
      <c r="D91">
        <v>3915654.93359375</v>
      </c>
      <c r="E91">
        <v>0</v>
      </c>
      <c r="F91">
        <v>1289.97</v>
      </c>
      <c r="G91" t="s">
        <v>7</v>
      </c>
      <c r="H91">
        <v>20</v>
      </c>
      <c r="I91">
        <f t="shared" ref="I91:J93" si="14">D91/(C91+D91)</f>
        <v>0.99999642462112159</v>
      </c>
      <c r="J91" s="6">
        <f t="shared" si="14"/>
        <v>0</v>
      </c>
      <c r="K91" s="2">
        <f>(J91*$N$3)/$N$2</f>
        <v>0</v>
      </c>
    </row>
    <row r="92" spans="1:11" x14ac:dyDescent="0.3">
      <c r="A92" t="s">
        <v>4</v>
      </c>
      <c r="B92">
        <v>9</v>
      </c>
      <c r="C92">
        <v>16</v>
      </c>
      <c r="D92">
        <v>3890709.0747070299</v>
      </c>
      <c r="E92">
        <v>0</v>
      </c>
      <c r="F92">
        <v>1304.6400000000001</v>
      </c>
      <c r="G92" t="s">
        <v>7</v>
      </c>
      <c r="H92">
        <v>20</v>
      </c>
      <c r="I92">
        <f t="shared" si="14"/>
        <v>0.99999588765597858</v>
      </c>
      <c r="J92" s="6">
        <f t="shared" si="14"/>
        <v>0</v>
      </c>
      <c r="K92" s="2">
        <f>(J92*$N$3)/$N$2</f>
        <v>0</v>
      </c>
    </row>
    <row r="93" spans="1:11" x14ac:dyDescent="0.3">
      <c r="A93" t="s">
        <v>4</v>
      </c>
      <c r="B93">
        <v>9</v>
      </c>
      <c r="C93">
        <v>18</v>
      </c>
      <c r="D93">
        <v>4034375.28515625</v>
      </c>
      <c r="E93">
        <v>0</v>
      </c>
      <c r="F93">
        <v>1319.38</v>
      </c>
      <c r="G93" t="s">
        <v>7</v>
      </c>
      <c r="H93">
        <v>20</v>
      </c>
      <c r="I93">
        <f t="shared" si="14"/>
        <v>0.99999553836259192</v>
      </c>
      <c r="J93" s="6">
        <f t="shared" si="14"/>
        <v>0</v>
      </c>
      <c r="K93" s="2">
        <f>(J93*$N$3)/$N$2</f>
        <v>0</v>
      </c>
    </row>
    <row r="94" spans="1:11" x14ac:dyDescent="0.3">
      <c r="A94" t="s">
        <v>4</v>
      </c>
      <c r="B94">
        <v>2001</v>
      </c>
      <c r="C94">
        <v>2</v>
      </c>
      <c r="D94">
        <v>0</v>
      </c>
      <c r="E94">
        <v>0</v>
      </c>
      <c r="F94">
        <v>1333.84</v>
      </c>
    </row>
    <row r="95" spans="1:11" x14ac:dyDescent="0.3">
      <c r="A95" t="s">
        <v>4</v>
      </c>
      <c r="B95">
        <v>2001</v>
      </c>
      <c r="C95">
        <v>3</v>
      </c>
      <c r="D95">
        <v>0</v>
      </c>
      <c r="E95">
        <v>0</v>
      </c>
      <c r="F95">
        <v>1348.02</v>
      </c>
    </row>
    <row r="96" spans="1:11" x14ac:dyDescent="0.3">
      <c r="A96" t="s">
        <v>4</v>
      </c>
      <c r="B96">
        <v>9</v>
      </c>
      <c r="C96">
        <v>20</v>
      </c>
      <c r="D96">
        <v>3231891.3886718801</v>
      </c>
      <c r="E96">
        <v>806385.30566406297</v>
      </c>
      <c r="F96">
        <v>1362.68</v>
      </c>
      <c r="G96" t="s">
        <v>6</v>
      </c>
      <c r="H96">
        <v>20</v>
      </c>
      <c r="I96">
        <f t="shared" ref="I96:J98" si="15">D96/(C96+D96)</f>
        <v>0.99999381171152457</v>
      </c>
      <c r="J96" s="6">
        <f t="shared" si="15"/>
        <v>0.19968550119289571</v>
      </c>
      <c r="K96" s="2">
        <f>(J96*$N$3)/$N$2</f>
        <v>0.68594256134964171</v>
      </c>
    </row>
    <row r="97" spans="1:11" x14ac:dyDescent="0.3">
      <c r="A97" t="s">
        <v>4</v>
      </c>
      <c r="B97">
        <v>9</v>
      </c>
      <c r="C97">
        <v>22</v>
      </c>
      <c r="D97">
        <v>3236131.67578125</v>
      </c>
      <c r="E97">
        <v>1051896.9746093799</v>
      </c>
      <c r="F97">
        <v>1377.4</v>
      </c>
      <c r="G97" t="s">
        <v>6</v>
      </c>
      <c r="H97">
        <v>20</v>
      </c>
      <c r="I97">
        <f t="shared" si="15"/>
        <v>0.99999320180615503</v>
      </c>
      <c r="J97" s="6">
        <f t="shared" si="15"/>
        <v>0.24531015540522438</v>
      </c>
      <c r="K97" s="2">
        <f>(J97*$N$3)/$N$2</f>
        <v>0.84266847276603785</v>
      </c>
    </row>
    <row r="98" spans="1:11" x14ac:dyDescent="0.3">
      <c r="A98" t="s">
        <v>4</v>
      </c>
      <c r="B98">
        <v>9</v>
      </c>
      <c r="C98">
        <v>24</v>
      </c>
      <c r="D98">
        <v>3245824.7431640602</v>
      </c>
      <c r="E98">
        <v>789529.66455078102</v>
      </c>
      <c r="F98">
        <v>1392.09</v>
      </c>
      <c r="G98" t="s">
        <v>6</v>
      </c>
      <c r="H98">
        <v>20</v>
      </c>
      <c r="I98">
        <f t="shared" si="15"/>
        <v>0.9999926059401103</v>
      </c>
      <c r="J98" s="6">
        <f t="shared" si="15"/>
        <v>0.19565311612812702</v>
      </c>
      <c r="K98" s="2">
        <f>(J98*$N$3)/$N$2</f>
        <v>0.67209085692868065</v>
      </c>
    </row>
    <row r="99" spans="1:11" x14ac:dyDescent="0.3">
      <c r="A99" t="s">
        <v>4</v>
      </c>
      <c r="B99">
        <v>2001</v>
      </c>
      <c r="C99">
        <v>2</v>
      </c>
      <c r="D99">
        <v>0</v>
      </c>
      <c r="E99">
        <v>0</v>
      </c>
      <c r="F99">
        <v>1406.44</v>
      </c>
    </row>
    <row r="100" spans="1:11" x14ac:dyDescent="0.3">
      <c r="A100" t="s">
        <v>4</v>
      </c>
      <c r="B100">
        <v>2001</v>
      </c>
      <c r="C100">
        <v>3</v>
      </c>
      <c r="D100">
        <v>0</v>
      </c>
      <c r="E100">
        <v>0</v>
      </c>
      <c r="F100">
        <v>1420.6</v>
      </c>
    </row>
    <row r="101" spans="1:11" x14ac:dyDescent="0.3">
      <c r="A101" t="s">
        <v>4</v>
      </c>
      <c r="B101">
        <v>2001</v>
      </c>
      <c r="C101">
        <v>2</v>
      </c>
      <c r="D101">
        <v>0</v>
      </c>
      <c r="E101">
        <v>0</v>
      </c>
      <c r="F101">
        <v>1435.05</v>
      </c>
    </row>
    <row r="102" spans="1:11" x14ac:dyDescent="0.3">
      <c r="A102" t="s">
        <v>4</v>
      </c>
      <c r="B102">
        <v>2001</v>
      </c>
      <c r="C102">
        <v>3</v>
      </c>
      <c r="D102">
        <v>0</v>
      </c>
      <c r="E102">
        <v>0</v>
      </c>
      <c r="F102">
        <v>1449.28</v>
      </c>
    </row>
    <row r="103" spans="1:11" x14ac:dyDescent="0.3">
      <c r="A103" t="s">
        <v>4</v>
      </c>
      <c r="B103">
        <v>2001</v>
      </c>
      <c r="C103">
        <v>2</v>
      </c>
      <c r="D103">
        <v>0</v>
      </c>
      <c r="E103">
        <v>0</v>
      </c>
      <c r="F103">
        <v>1463.59</v>
      </c>
    </row>
    <row r="104" spans="1:11" x14ac:dyDescent="0.3">
      <c r="A104" t="s">
        <v>4</v>
      </c>
      <c r="B104">
        <v>2001</v>
      </c>
      <c r="C104">
        <v>3</v>
      </c>
      <c r="D104">
        <v>0</v>
      </c>
      <c r="E104">
        <v>0</v>
      </c>
      <c r="F104">
        <v>1477.88</v>
      </c>
    </row>
    <row r="105" spans="1:11" x14ac:dyDescent="0.3">
      <c r="A105" t="s">
        <v>4</v>
      </c>
      <c r="B105">
        <v>8</v>
      </c>
      <c r="C105">
        <v>14</v>
      </c>
      <c r="D105">
        <v>3968080.9042968801</v>
      </c>
      <c r="E105">
        <v>0</v>
      </c>
      <c r="F105">
        <v>1492.56</v>
      </c>
      <c r="G105" t="s">
        <v>7</v>
      </c>
      <c r="H105">
        <v>40</v>
      </c>
      <c r="I105">
        <f t="shared" ref="I105:J107" si="16">D105/(C105+D105)</f>
        <v>0.99999647185857754</v>
      </c>
      <c r="J105" s="6">
        <f t="shared" si="16"/>
        <v>0</v>
      </c>
      <c r="K105" s="2">
        <f>(J105*$N$3)/$N$2</f>
        <v>0</v>
      </c>
    </row>
    <row r="106" spans="1:11" x14ac:dyDescent="0.3">
      <c r="A106" t="s">
        <v>4</v>
      </c>
      <c r="B106">
        <v>8</v>
      </c>
      <c r="C106">
        <v>16</v>
      </c>
      <c r="D106">
        <v>3786579.1933593801</v>
      </c>
      <c r="E106">
        <v>0</v>
      </c>
      <c r="F106">
        <v>1507.27</v>
      </c>
      <c r="G106" t="s">
        <v>7</v>
      </c>
      <c r="H106">
        <v>40</v>
      </c>
      <c r="I106">
        <f t="shared" si="16"/>
        <v>0.99999577456813238</v>
      </c>
      <c r="J106" s="6">
        <f t="shared" si="16"/>
        <v>0</v>
      </c>
      <c r="K106" s="2">
        <f>(J106*$N$3)/$N$2</f>
        <v>0</v>
      </c>
    </row>
    <row r="107" spans="1:11" x14ac:dyDescent="0.3">
      <c r="A107" t="s">
        <v>4</v>
      </c>
      <c r="B107">
        <v>8</v>
      </c>
      <c r="C107">
        <v>18</v>
      </c>
      <c r="D107">
        <v>3848369.1035156301</v>
      </c>
      <c r="E107">
        <v>0</v>
      </c>
      <c r="F107">
        <v>1522</v>
      </c>
      <c r="G107" t="s">
        <v>7</v>
      </c>
      <c r="H107">
        <v>40</v>
      </c>
      <c r="I107">
        <f t="shared" si="16"/>
        <v>0.99999532271585057</v>
      </c>
      <c r="J107" s="6">
        <f t="shared" si="16"/>
        <v>0</v>
      </c>
      <c r="K107" s="2">
        <f>(J107*$N$3)/$N$2</f>
        <v>0</v>
      </c>
    </row>
    <row r="108" spans="1:11" x14ac:dyDescent="0.3">
      <c r="A108" t="s">
        <v>4</v>
      </c>
      <c r="B108">
        <v>2001</v>
      </c>
      <c r="C108">
        <v>2</v>
      </c>
      <c r="D108">
        <v>0</v>
      </c>
      <c r="E108">
        <v>0</v>
      </c>
      <c r="F108">
        <v>1536.32</v>
      </c>
    </row>
    <row r="109" spans="1:11" x14ac:dyDescent="0.3">
      <c r="A109" t="s">
        <v>4</v>
      </c>
      <c r="B109">
        <v>2001</v>
      </c>
      <c r="C109">
        <v>3</v>
      </c>
      <c r="D109">
        <v>0</v>
      </c>
      <c r="E109">
        <v>0</v>
      </c>
      <c r="F109">
        <v>1550.64</v>
      </c>
    </row>
    <row r="110" spans="1:11" x14ac:dyDescent="0.3">
      <c r="A110" t="s">
        <v>4</v>
      </c>
      <c r="B110">
        <v>2001</v>
      </c>
      <c r="C110">
        <v>2</v>
      </c>
      <c r="D110">
        <v>0</v>
      </c>
      <c r="E110">
        <v>0</v>
      </c>
      <c r="F110">
        <v>1564.98</v>
      </c>
    </row>
    <row r="111" spans="1:11" x14ac:dyDescent="0.3">
      <c r="A111" t="s">
        <v>4</v>
      </c>
      <c r="B111">
        <v>2001</v>
      </c>
      <c r="C111">
        <v>3</v>
      </c>
      <c r="D111">
        <v>0</v>
      </c>
      <c r="E111">
        <v>0</v>
      </c>
      <c r="F111">
        <v>1579.19</v>
      </c>
    </row>
    <row r="112" spans="1:11" x14ac:dyDescent="0.3">
      <c r="A112" t="s">
        <v>4</v>
      </c>
      <c r="B112">
        <v>8</v>
      </c>
      <c r="C112">
        <v>20</v>
      </c>
      <c r="D112">
        <v>2037669.55078125</v>
      </c>
      <c r="E112">
        <v>1543811.96484375</v>
      </c>
      <c r="F112">
        <v>1593.87</v>
      </c>
      <c r="G112" t="s">
        <v>6</v>
      </c>
      <c r="H112">
        <v>40</v>
      </c>
      <c r="I112">
        <f t="shared" ref="I112:J114" si="17">D112/(C112+D112)</f>
        <v>0.99999018496218306</v>
      </c>
      <c r="J112" s="6">
        <f t="shared" si="17"/>
        <v>0.43105400882526718</v>
      </c>
      <c r="K112" s="2">
        <f>(J112*$N$3)/$N$2</f>
        <v>1.4807198776440476</v>
      </c>
    </row>
    <row r="113" spans="1:11" x14ac:dyDescent="0.3">
      <c r="A113" t="s">
        <v>4</v>
      </c>
      <c r="B113">
        <v>8</v>
      </c>
      <c r="C113">
        <v>22</v>
      </c>
      <c r="D113">
        <v>1937621.20703125</v>
      </c>
      <c r="E113">
        <v>1351832.4980468799</v>
      </c>
      <c r="F113">
        <v>1608.6</v>
      </c>
      <c r="G113" t="s">
        <v>6</v>
      </c>
      <c r="H113">
        <v>40</v>
      </c>
      <c r="I113">
        <f t="shared" si="17"/>
        <v>0.99998864600050197</v>
      </c>
      <c r="J113" s="6">
        <f t="shared" si="17"/>
        <v>0.41095957543344475</v>
      </c>
      <c r="K113" s="2">
        <f>(J113*$N$3)/$N$2</f>
        <v>1.4116931980538179</v>
      </c>
    </row>
    <row r="114" spans="1:11" x14ac:dyDescent="0.3">
      <c r="A114" t="s">
        <v>4</v>
      </c>
      <c r="B114">
        <v>8</v>
      </c>
      <c r="C114">
        <v>24</v>
      </c>
      <c r="D114">
        <v>2039400.18115234</v>
      </c>
      <c r="E114">
        <v>1262043.09375</v>
      </c>
      <c r="F114">
        <v>1623.19</v>
      </c>
      <c r="G114" t="s">
        <v>6</v>
      </c>
      <c r="H114">
        <v>40</v>
      </c>
      <c r="I114">
        <f t="shared" si="17"/>
        <v>0.99998823197242548</v>
      </c>
      <c r="J114" s="6">
        <f t="shared" si="17"/>
        <v>0.38227011299696873</v>
      </c>
      <c r="K114" s="2">
        <f>(J114*$N$3)/$N$2</f>
        <v>1.3131416095315718</v>
      </c>
    </row>
    <row r="115" spans="1:11" x14ac:dyDescent="0.3">
      <c r="A115" t="s">
        <v>4</v>
      </c>
      <c r="B115">
        <v>2001</v>
      </c>
      <c r="C115">
        <v>2</v>
      </c>
      <c r="D115">
        <v>0</v>
      </c>
      <c r="E115">
        <v>0</v>
      </c>
      <c r="F115">
        <v>1637.64</v>
      </c>
    </row>
    <row r="116" spans="1:11" x14ac:dyDescent="0.3">
      <c r="A116" t="s">
        <v>4</v>
      </c>
      <c r="B116">
        <v>2001</v>
      </c>
      <c r="C116">
        <v>3</v>
      </c>
      <c r="D116">
        <v>0</v>
      </c>
      <c r="E116">
        <v>0</v>
      </c>
      <c r="F116">
        <v>1651.86</v>
      </c>
    </row>
    <row r="117" spans="1:11" x14ac:dyDescent="0.3">
      <c r="A117" t="s">
        <v>4</v>
      </c>
      <c r="B117">
        <v>2001</v>
      </c>
      <c r="C117">
        <v>2</v>
      </c>
      <c r="D117">
        <v>0</v>
      </c>
      <c r="E117">
        <v>0</v>
      </c>
      <c r="F117">
        <v>1666.2</v>
      </c>
    </row>
    <row r="118" spans="1:11" x14ac:dyDescent="0.3">
      <c r="A118" t="s">
        <v>4</v>
      </c>
      <c r="B118">
        <v>2001</v>
      </c>
      <c r="C118">
        <v>3</v>
      </c>
      <c r="D118">
        <v>0</v>
      </c>
      <c r="E118">
        <v>0</v>
      </c>
      <c r="F118">
        <v>1680.41</v>
      </c>
    </row>
    <row r="119" spans="1:11" x14ac:dyDescent="0.3">
      <c r="A119" t="s">
        <v>4</v>
      </c>
      <c r="B119">
        <v>7</v>
      </c>
      <c r="C119">
        <v>14</v>
      </c>
      <c r="D119">
        <v>3619729.31005859</v>
      </c>
      <c r="E119">
        <v>0</v>
      </c>
      <c r="F119">
        <v>1695.13</v>
      </c>
      <c r="G119" t="s">
        <v>7</v>
      </c>
      <c r="H119">
        <v>60</v>
      </c>
      <c r="I119">
        <f t="shared" ref="I119:J121" si="18">D119/(C119+D119)</f>
        <v>0.99999613232243256</v>
      </c>
      <c r="J119" s="6">
        <f t="shared" si="18"/>
        <v>0</v>
      </c>
      <c r="K119" s="2">
        <f>(J119*$N$3)/$N$2</f>
        <v>0</v>
      </c>
    </row>
    <row r="120" spans="1:11" x14ac:dyDescent="0.3">
      <c r="A120" t="s">
        <v>4</v>
      </c>
      <c r="B120">
        <v>7</v>
      </c>
      <c r="C120">
        <v>16</v>
      </c>
      <c r="D120">
        <v>3521387.1279296898</v>
      </c>
      <c r="E120">
        <v>0</v>
      </c>
      <c r="F120">
        <v>1709.84</v>
      </c>
      <c r="G120" t="s">
        <v>7</v>
      </c>
      <c r="H120">
        <v>60</v>
      </c>
      <c r="I120">
        <f t="shared" si="18"/>
        <v>0.99999545635662301</v>
      </c>
      <c r="J120" s="6">
        <f t="shared" si="18"/>
        <v>0</v>
      </c>
      <c r="K120" s="2">
        <f>(J120*$N$3)/$N$2</f>
        <v>0</v>
      </c>
    </row>
    <row r="121" spans="1:11" x14ac:dyDescent="0.3">
      <c r="A121" t="s">
        <v>4</v>
      </c>
      <c r="B121">
        <v>7</v>
      </c>
      <c r="C121">
        <v>18</v>
      </c>
      <c r="D121">
        <v>3384399.0410156301</v>
      </c>
      <c r="E121">
        <v>0</v>
      </c>
      <c r="F121">
        <v>1724.52</v>
      </c>
      <c r="G121" t="s">
        <v>7</v>
      </c>
      <c r="H121">
        <v>60</v>
      </c>
      <c r="I121">
        <f t="shared" si="18"/>
        <v>0.99999468150651005</v>
      </c>
      <c r="J121" s="6">
        <f t="shared" si="18"/>
        <v>0</v>
      </c>
      <c r="K121" s="2">
        <f>(J121*$N$3)/$N$2</f>
        <v>0</v>
      </c>
    </row>
    <row r="122" spans="1:11" x14ac:dyDescent="0.3">
      <c r="A122" t="s">
        <v>4</v>
      </c>
      <c r="B122">
        <v>2001</v>
      </c>
      <c r="C122">
        <v>2</v>
      </c>
      <c r="D122">
        <v>0</v>
      </c>
      <c r="E122">
        <v>0</v>
      </c>
      <c r="F122">
        <v>1738.88</v>
      </c>
    </row>
    <row r="123" spans="1:11" x14ac:dyDescent="0.3">
      <c r="A123" t="s">
        <v>4</v>
      </c>
      <c r="B123">
        <v>2001</v>
      </c>
      <c r="C123">
        <v>3</v>
      </c>
      <c r="D123">
        <v>0</v>
      </c>
      <c r="E123">
        <v>0</v>
      </c>
      <c r="F123">
        <v>1753.07</v>
      </c>
    </row>
    <row r="124" spans="1:11" x14ac:dyDescent="0.3">
      <c r="A124" t="s">
        <v>4</v>
      </c>
      <c r="B124">
        <v>2001</v>
      </c>
      <c r="C124">
        <v>2</v>
      </c>
      <c r="D124">
        <v>0</v>
      </c>
      <c r="E124">
        <v>0</v>
      </c>
      <c r="F124">
        <v>1767.51</v>
      </c>
    </row>
    <row r="125" spans="1:11" x14ac:dyDescent="0.3">
      <c r="A125" t="s">
        <v>4</v>
      </c>
      <c r="B125">
        <v>2001</v>
      </c>
      <c r="C125">
        <v>3</v>
      </c>
      <c r="D125">
        <v>0</v>
      </c>
      <c r="E125">
        <v>0</v>
      </c>
      <c r="F125">
        <v>1781.68</v>
      </c>
    </row>
    <row r="126" spans="1:11" x14ac:dyDescent="0.3">
      <c r="A126" t="s">
        <v>4</v>
      </c>
      <c r="B126">
        <v>7</v>
      </c>
      <c r="C126">
        <v>20</v>
      </c>
      <c r="D126">
        <v>1221112.4355468799</v>
      </c>
      <c r="E126">
        <v>1562063.8271484401</v>
      </c>
      <c r="F126">
        <v>1796.39</v>
      </c>
      <c r="G126" t="s">
        <v>6</v>
      </c>
      <c r="H126">
        <v>60</v>
      </c>
      <c r="I126">
        <f t="shared" ref="I126:J128" si="19">D126/(C126+D126)</f>
        <v>0.99998362176008282</v>
      </c>
      <c r="J126" s="6">
        <f t="shared" si="19"/>
        <v>0.56125220960158873</v>
      </c>
      <c r="K126" s="2">
        <f>(J126*$N$3)/$N$2</f>
        <v>1.9279656055016408</v>
      </c>
    </row>
    <row r="127" spans="1:11" x14ac:dyDescent="0.3">
      <c r="A127" t="s">
        <v>4</v>
      </c>
      <c r="B127">
        <v>7</v>
      </c>
      <c r="C127">
        <v>22</v>
      </c>
      <c r="D127">
        <v>1170000.5761718799</v>
      </c>
      <c r="E127">
        <v>1516612.4609375</v>
      </c>
      <c r="F127">
        <v>1811.1</v>
      </c>
      <c r="G127" t="s">
        <v>6</v>
      </c>
      <c r="H127">
        <v>60</v>
      </c>
      <c r="I127">
        <f t="shared" si="19"/>
        <v>0.99998119694401799</v>
      </c>
      <c r="J127" s="6">
        <f t="shared" si="19"/>
        <v>0.56450722154213773</v>
      </c>
      <c r="K127" s="2">
        <f>(J127*$N$3)/$N$2</f>
        <v>1.9391469442287175</v>
      </c>
    </row>
    <row r="128" spans="1:11" x14ac:dyDescent="0.3">
      <c r="A128" t="s">
        <v>4</v>
      </c>
      <c r="B128">
        <v>7</v>
      </c>
      <c r="C128">
        <v>24</v>
      </c>
      <c r="D128">
        <v>1477850.8964843799</v>
      </c>
      <c r="E128">
        <v>1692492.3564453099</v>
      </c>
      <c r="F128">
        <v>1825.87</v>
      </c>
      <c r="G128" t="s">
        <v>6</v>
      </c>
      <c r="H128">
        <v>60</v>
      </c>
      <c r="I128">
        <f t="shared" si="19"/>
        <v>0.99998376046574911</v>
      </c>
      <c r="J128" s="6">
        <f t="shared" si="19"/>
        <v>0.53385145437526071</v>
      </c>
      <c r="K128" s="2">
        <f>(J128*$N$3)/$N$2</f>
        <v>1.8338408738081475</v>
      </c>
    </row>
    <row r="129" spans="1:11" x14ac:dyDescent="0.3">
      <c r="A129" t="s">
        <v>4</v>
      </c>
      <c r="B129">
        <v>2001</v>
      </c>
      <c r="C129">
        <v>2</v>
      </c>
      <c r="D129">
        <v>0</v>
      </c>
      <c r="E129">
        <v>0</v>
      </c>
      <c r="F129">
        <v>1840.3</v>
      </c>
    </row>
    <row r="130" spans="1:11" x14ac:dyDescent="0.3">
      <c r="A130" t="s">
        <v>4</v>
      </c>
      <c r="B130">
        <v>2001</v>
      </c>
      <c r="C130">
        <v>3</v>
      </c>
      <c r="D130">
        <v>0</v>
      </c>
      <c r="E130">
        <v>0</v>
      </c>
      <c r="F130">
        <v>1854.49</v>
      </c>
    </row>
    <row r="131" spans="1:11" x14ac:dyDescent="0.3">
      <c r="A131" t="s">
        <v>4</v>
      </c>
      <c r="B131">
        <v>2001</v>
      </c>
      <c r="C131">
        <v>2</v>
      </c>
      <c r="D131">
        <v>0</v>
      </c>
      <c r="E131">
        <v>0</v>
      </c>
      <c r="F131">
        <v>1868.8</v>
      </c>
    </row>
    <row r="132" spans="1:11" x14ac:dyDescent="0.3">
      <c r="A132" t="s">
        <v>4</v>
      </c>
      <c r="B132">
        <v>2001</v>
      </c>
      <c r="C132">
        <v>3</v>
      </c>
      <c r="D132">
        <v>0</v>
      </c>
      <c r="E132">
        <v>0</v>
      </c>
      <c r="F132">
        <v>1882.99</v>
      </c>
    </row>
    <row r="133" spans="1:11" x14ac:dyDescent="0.3">
      <c r="A133" t="s">
        <v>4</v>
      </c>
      <c r="B133">
        <v>6</v>
      </c>
      <c r="C133">
        <v>14</v>
      </c>
      <c r="D133">
        <v>3415972.671875</v>
      </c>
      <c r="E133">
        <v>0</v>
      </c>
      <c r="F133">
        <v>1897.71</v>
      </c>
      <c r="G133" t="s">
        <v>7</v>
      </c>
      <c r="H133">
        <v>90</v>
      </c>
      <c r="I133">
        <f t="shared" ref="I133:J135" si="20">D133/(C133+D133)</f>
        <v>0.99999590162335372</v>
      </c>
      <c r="J133" s="6">
        <f t="shared" si="20"/>
        <v>0</v>
      </c>
      <c r="K133" s="2">
        <f>(J133*$N$3)/$N$2</f>
        <v>0</v>
      </c>
    </row>
    <row r="134" spans="1:11" x14ac:dyDescent="0.3">
      <c r="A134" t="s">
        <v>4</v>
      </c>
      <c r="B134">
        <v>6</v>
      </c>
      <c r="C134">
        <v>16</v>
      </c>
      <c r="D134">
        <v>3214715.3901367201</v>
      </c>
      <c r="E134">
        <v>5548.82275390625</v>
      </c>
      <c r="F134">
        <v>1912.44</v>
      </c>
      <c r="G134" t="s">
        <v>7</v>
      </c>
      <c r="H134">
        <v>90</v>
      </c>
      <c r="I134">
        <f t="shared" si="20"/>
        <v>0.9999950229123189</v>
      </c>
      <c r="J134" s="6">
        <f t="shared" si="20"/>
        <v>1.7230954937469012E-3</v>
      </c>
      <c r="K134" s="2">
        <f>(J134*$N$3)/$N$2</f>
        <v>5.9190303220313404E-3</v>
      </c>
    </row>
    <row r="135" spans="1:11" x14ac:dyDescent="0.3">
      <c r="A135" t="s">
        <v>4</v>
      </c>
      <c r="B135">
        <v>6</v>
      </c>
      <c r="C135">
        <v>18</v>
      </c>
      <c r="D135">
        <v>3231876.93359375</v>
      </c>
      <c r="E135">
        <v>0</v>
      </c>
      <c r="F135">
        <v>1927.13</v>
      </c>
      <c r="G135" t="s">
        <v>7</v>
      </c>
      <c r="H135">
        <v>90</v>
      </c>
      <c r="I135">
        <f t="shared" si="20"/>
        <v>0.99999443051201542</v>
      </c>
      <c r="J135" s="6">
        <f t="shared" si="20"/>
        <v>0</v>
      </c>
      <c r="K135" s="2">
        <f>(J135*$N$3)/$N$2</f>
        <v>0</v>
      </c>
    </row>
    <row r="136" spans="1:11" x14ac:dyDescent="0.3">
      <c r="A136" t="s">
        <v>4</v>
      </c>
      <c r="B136">
        <v>2001</v>
      </c>
      <c r="C136">
        <v>2</v>
      </c>
      <c r="D136">
        <v>0</v>
      </c>
      <c r="E136">
        <v>0</v>
      </c>
      <c r="F136">
        <v>1941.48</v>
      </c>
    </row>
    <row r="137" spans="1:11" x14ac:dyDescent="0.3">
      <c r="A137" t="s">
        <v>4</v>
      </c>
      <c r="B137">
        <v>2001</v>
      </c>
      <c r="C137">
        <v>3</v>
      </c>
      <c r="D137">
        <v>0</v>
      </c>
      <c r="E137">
        <v>0</v>
      </c>
      <c r="F137">
        <v>1955.68</v>
      </c>
    </row>
    <row r="138" spans="1:11" x14ac:dyDescent="0.3">
      <c r="A138" t="s">
        <v>4</v>
      </c>
      <c r="B138">
        <v>2001</v>
      </c>
      <c r="C138">
        <v>2</v>
      </c>
      <c r="D138">
        <v>0</v>
      </c>
      <c r="E138">
        <v>0</v>
      </c>
      <c r="F138">
        <v>1970.12</v>
      </c>
    </row>
    <row r="139" spans="1:11" x14ac:dyDescent="0.3">
      <c r="A139" t="s">
        <v>4</v>
      </c>
      <c r="B139">
        <v>2001</v>
      </c>
      <c r="C139">
        <v>3</v>
      </c>
      <c r="D139">
        <v>0</v>
      </c>
      <c r="E139">
        <v>0</v>
      </c>
      <c r="F139">
        <v>1984.3</v>
      </c>
    </row>
    <row r="140" spans="1:11" x14ac:dyDescent="0.3">
      <c r="A140" t="s">
        <v>4</v>
      </c>
      <c r="B140">
        <v>6</v>
      </c>
      <c r="C140">
        <v>20</v>
      </c>
      <c r="D140">
        <v>780327.51611328102</v>
      </c>
      <c r="E140">
        <v>1894768.7832031299</v>
      </c>
      <c r="F140">
        <v>1999.04</v>
      </c>
      <c r="G140" t="s">
        <v>6</v>
      </c>
      <c r="H140">
        <v>90</v>
      </c>
      <c r="I140">
        <f t="shared" ref="I140:J142" si="21">D140/(C140+D140)</f>
        <v>0.9999743703932068</v>
      </c>
      <c r="J140" s="6">
        <f t="shared" si="21"/>
        <v>0.70829928017444288</v>
      </c>
      <c r="K140" s="2">
        <f>(J140*$N$3)/$N$2</f>
        <v>2.4330891303702238</v>
      </c>
    </row>
    <row r="141" spans="1:11" x14ac:dyDescent="0.3">
      <c r="A141" t="s">
        <v>4</v>
      </c>
      <c r="B141">
        <v>6</v>
      </c>
      <c r="C141">
        <v>22</v>
      </c>
      <c r="D141">
        <v>818650.625</v>
      </c>
      <c r="E141">
        <v>2010448.22802734</v>
      </c>
      <c r="F141">
        <v>2013.73</v>
      </c>
      <c r="G141" t="s">
        <v>6</v>
      </c>
      <c r="H141">
        <v>90</v>
      </c>
      <c r="I141">
        <f t="shared" si="21"/>
        <v>0.99997312723141318</v>
      </c>
      <c r="J141" s="6">
        <f t="shared" si="21"/>
        <v>0.71063201834605927</v>
      </c>
      <c r="K141" s="2">
        <f>(J141*$N$3)/$N$2</f>
        <v>2.4411023530971501</v>
      </c>
    </row>
    <row r="142" spans="1:11" x14ac:dyDescent="0.3">
      <c r="A142" t="s">
        <v>4</v>
      </c>
      <c r="B142">
        <v>6</v>
      </c>
      <c r="C142">
        <v>24</v>
      </c>
      <c r="D142">
        <v>933011.6796875</v>
      </c>
      <c r="E142">
        <v>2002558.0380859401</v>
      </c>
      <c r="F142">
        <v>2028.34</v>
      </c>
      <c r="G142" t="s">
        <v>6</v>
      </c>
      <c r="H142">
        <v>90</v>
      </c>
      <c r="I142">
        <f t="shared" si="21"/>
        <v>0.99997427751100787</v>
      </c>
      <c r="J142" s="6">
        <f t="shared" si="21"/>
        <v>0.68217015115036428</v>
      </c>
      <c r="K142" s="2">
        <f>(J142*$N$3)/$N$2</f>
        <v>2.3433325802875107</v>
      </c>
    </row>
    <row r="143" spans="1:11" x14ac:dyDescent="0.3">
      <c r="A143" t="s">
        <v>4</v>
      </c>
      <c r="B143">
        <v>2001</v>
      </c>
      <c r="C143">
        <v>2</v>
      </c>
      <c r="D143">
        <v>0</v>
      </c>
      <c r="E143">
        <v>0</v>
      </c>
      <c r="F143">
        <v>2042.78</v>
      </c>
    </row>
    <row r="144" spans="1:11" x14ac:dyDescent="0.3">
      <c r="A144" t="s">
        <v>4</v>
      </c>
      <c r="B144">
        <v>2001</v>
      </c>
      <c r="C144">
        <v>3</v>
      </c>
      <c r="D144">
        <v>0</v>
      </c>
      <c r="E144">
        <v>0</v>
      </c>
      <c r="F144">
        <v>2056.44</v>
      </c>
    </row>
    <row r="145" spans="1:11" x14ac:dyDescent="0.3">
      <c r="A145" t="s">
        <v>4</v>
      </c>
      <c r="B145">
        <v>2001</v>
      </c>
      <c r="C145">
        <v>2</v>
      </c>
      <c r="D145">
        <v>0</v>
      </c>
      <c r="E145">
        <v>0</v>
      </c>
      <c r="F145">
        <v>2070.88</v>
      </c>
    </row>
    <row r="146" spans="1:11" x14ac:dyDescent="0.3">
      <c r="A146" t="s">
        <v>4</v>
      </c>
      <c r="B146">
        <v>2001</v>
      </c>
      <c r="C146">
        <v>3</v>
      </c>
      <c r="D146">
        <v>0</v>
      </c>
      <c r="E146">
        <v>0</v>
      </c>
      <c r="F146">
        <v>2085.1</v>
      </c>
    </row>
    <row r="147" spans="1:11" x14ac:dyDescent="0.3">
      <c r="A147" t="s">
        <v>4</v>
      </c>
      <c r="B147">
        <v>2001</v>
      </c>
      <c r="C147">
        <v>2</v>
      </c>
      <c r="D147">
        <v>0</v>
      </c>
      <c r="E147">
        <v>0</v>
      </c>
      <c r="F147">
        <v>2099.4299999999998</v>
      </c>
    </row>
    <row r="148" spans="1:11" x14ac:dyDescent="0.3">
      <c r="A148" t="s">
        <v>4</v>
      </c>
      <c r="B148">
        <v>2001</v>
      </c>
      <c r="C148">
        <v>3</v>
      </c>
      <c r="D148">
        <v>0</v>
      </c>
      <c r="E148">
        <v>0</v>
      </c>
      <c r="F148">
        <v>2113.7199999999998</v>
      </c>
    </row>
    <row r="149" spans="1:11" x14ac:dyDescent="0.3">
      <c r="A149" t="s">
        <v>4</v>
      </c>
      <c r="B149">
        <v>5</v>
      </c>
      <c r="C149">
        <v>14</v>
      </c>
      <c r="D149">
        <v>3194033.6777343801</v>
      </c>
      <c r="E149">
        <v>0</v>
      </c>
      <c r="F149">
        <v>2128.4299999999998</v>
      </c>
      <c r="G149" t="s">
        <v>7</v>
      </c>
      <c r="H149">
        <v>120</v>
      </c>
      <c r="I149">
        <f t="shared" ref="I149:J151" si="22">D149/(C149+D149)</f>
        <v>0.99999561684689375</v>
      </c>
      <c r="J149" s="6">
        <f t="shared" si="22"/>
        <v>0</v>
      </c>
      <c r="K149" s="2">
        <f>(J149*$N$3)/$N$2</f>
        <v>0</v>
      </c>
    </row>
    <row r="150" spans="1:11" x14ac:dyDescent="0.3">
      <c r="A150" t="s">
        <v>4</v>
      </c>
      <c r="B150">
        <v>5</v>
      </c>
      <c r="C150">
        <v>16</v>
      </c>
      <c r="D150">
        <v>3073230.8300781301</v>
      </c>
      <c r="E150">
        <v>22615.283203125</v>
      </c>
      <c r="F150">
        <v>2143.16</v>
      </c>
      <c r="G150" t="s">
        <v>7</v>
      </c>
      <c r="H150">
        <v>120</v>
      </c>
      <c r="I150">
        <f t="shared" si="22"/>
        <v>0.9999947937797109</v>
      </c>
      <c r="J150" s="6">
        <f t="shared" si="22"/>
        <v>7.3050411343460794E-3</v>
      </c>
      <c r="K150" s="2">
        <f>(J150*$N$3)/$N$2</f>
        <v>2.5093652751570501E-2</v>
      </c>
    </row>
    <row r="151" spans="1:11" x14ac:dyDescent="0.3">
      <c r="A151" t="s">
        <v>4</v>
      </c>
      <c r="B151">
        <v>5</v>
      </c>
      <c r="C151">
        <v>18</v>
      </c>
      <c r="D151">
        <v>3027257.12646484</v>
      </c>
      <c r="E151">
        <v>0</v>
      </c>
      <c r="F151">
        <v>2157.77</v>
      </c>
      <c r="G151" t="s">
        <v>7</v>
      </c>
      <c r="H151">
        <v>120</v>
      </c>
      <c r="I151">
        <f t="shared" si="22"/>
        <v>0.9999940540587664</v>
      </c>
      <c r="J151" s="6">
        <f t="shared" si="22"/>
        <v>0</v>
      </c>
      <c r="K151" s="2">
        <f>(J151*$N$3)/$N$2</f>
        <v>0</v>
      </c>
    </row>
    <row r="152" spans="1:11" x14ac:dyDescent="0.3">
      <c r="A152" t="s">
        <v>4</v>
      </c>
      <c r="B152">
        <v>2001</v>
      </c>
      <c r="C152">
        <v>2</v>
      </c>
      <c r="D152">
        <v>0</v>
      </c>
      <c r="E152">
        <v>0</v>
      </c>
      <c r="F152">
        <v>2172.2600000000002</v>
      </c>
    </row>
    <row r="153" spans="1:11" x14ac:dyDescent="0.3">
      <c r="A153" t="s">
        <v>4</v>
      </c>
      <c r="B153">
        <v>2001</v>
      </c>
      <c r="C153">
        <v>3</v>
      </c>
      <c r="D153">
        <v>0</v>
      </c>
      <c r="E153">
        <v>0</v>
      </c>
      <c r="F153">
        <v>2186.44</v>
      </c>
    </row>
    <row r="154" spans="1:11" x14ac:dyDescent="0.3">
      <c r="A154" t="s">
        <v>4</v>
      </c>
      <c r="B154">
        <v>5</v>
      </c>
      <c r="C154">
        <v>20</v>
      </c>
      <c r="D154">
        <v>690361.00683593797</v>
      </c>
      <c r="E154">
        <v>2085172.8212890599</v>
      </c>
      <c r="F154">
        <v>2201.15</v>
      </c>
      <c r="G154" t="s">
        <v>6</v>
      </c>
      <c r="H154">
        <v>120</v>
      </c>
      <c r="I154">
        <f t="shared" ref="I154:J156" si="23">D154/(C154+D154)</f>
        <v>0.99997103048924874</v>
      </c>
      <c r="J154" s="6">
        <f t="shared" si="23"/>
        <v>0.75126910728293694</v>
      </c>
      <c r="K154" s="2">
        <f>(J154*$N$3)/$N$2</f>
        <v>2.5806954066971115</v>
      </c>
    </row>
    <row r="155" spans="1:11" x14ac:dyDescent="0.3">
      <c r="A155" t="s">
        <v>4</v>
      </c>
      <c r="B155">
        <v>5</v>
      </c>
      <c r="C155">
        <v>22</v>
      </c>
      <c r="D155">
        <v>683113.17138671898</v>
      </c>
      <c r="E155">
        <v>2189142.5058593801</v>
      </c>
      <c r="F155">
        <v>2215.77</v>
      </c>
      <c r="G155" t="s">
        <v>6</v>
      </c>
      <c r="H155">
        <v>120</v>
      </c>
      <c r="I155">
        <f t="shared" si="23"/>
        <v>0.99996779553897752</v>
      </c>
      <c r="J155" s="6">
        <f t="shared" si="23"/>
        <v>0.76216839719447127</v>
      </c>
      <c r="K155" s="2">
        <f>(J155*$N$3)/$N$2</f>
        <v>2.6181357155535272</v>
      </c>
    </row>
    <row r="156" spans="1:11" x14ac:dyDescent="0.3">
      <c r="A156" t="s">
        <v>4</v>
      </c>
      <c r="B156">
        <v>5</v>
      </c>
      <c r="C156">
        <v>24</v>
      </c>
      <c r="D156">
        <v>775830.70703125</v>
      </c>
      <c r="E156">
        <v>2004553.4589843799</v>
      </c>
      <c r="F156">
        <v>2230.4899999999998</v>
      </c>
      <c r="G156" t="s">
        <v>6</v>
      </c>
      <c r="H156">
        <v>120</v>
      </c>
      <c r="I156">
        <f t="shared" si="23"/>
        <v>0.99996906637314631</v>
      </c>
      <c r="J156" s="6">
        <f t="shared" si="23"/>
        <v>0.72096276603997589</v>
      </c>
      <c r="K156" s="2">
        <f>(J156*$N$3)/$N$2</f>
        <v>2.476589654335795</v>
      </c>
    </row>
    <row r="157" spans="1:11" x14ac:dyDescent="0.3">
      <c r="A157" t="s">
        <v>4</v>
      </c>
      <c r="B157">
        <v>2001</v>
      </c>
      <c r="C157">
        <v>2</v>
      </c>
      <c r="D157">
        <v>0</v>
      </c>
      <c r="E157">
        <v>0</v>
      </c>
      <c r="F157">
        <v>2244.9699999999998</v>
      </c>
    </row>
    <row r="158" spans="1:11" x14ac:dyDescent="0.3">
      <c r="A158" t="s">
        <v>4</v>
      </c>
      <c r="B158">
        <v>2001</v>
      </c>
      <c r="C158">
        <v>3</v>
      </c>
      <c r="D158">
        <v>0</v>
      </c>
      <c r="E158">
        <v>0</v>
      </c>
      <c r="F158">
        <v>2259.15</v>
      </c>
    </row>
    <row r="159" spans="1:11" x14ac:dyDescent="0.3">
      <c r="A159" t="s">
        <v>4</v>
      </c>
      <c r="B159">
        <v>2001</v>
      </c>
      <c r="C159">
        <v>2</v>
      </c>
      <c r="D159">
        <v>0</v>
      </c>
      <c r="E159">
        <v>0</v>
      </c>
      <c r="F159">
        <v>2273.61</v>
      </c>
    </row>
    <row r="160" spans="1:11" x14ac:dyDescent="0.3">
      <c r="A160" t="s">
        <v>4</v>
      </c>
      <c r="B160">
        <v>2001</v>
      </c>
      <c r="C160">
        <v>3</v>
      </c>
      <c r="D160">
        <v>0</v>
      </c>
      <c r="E160">
        <v>0</v>
      </c>
      <c r="F160">
        <v>2287.8000000000002</v>
      </c>
    </row>
    <row r="161" spans="1:11" x14ac:dyDescent="0.3">
      <c r="A161" t="s">
        <v>4</v>
      </c>
      <c r="B161">
        <v>4</v>
      </c>
      <c r="C161">
        <v>14</v>
      </c>
      <c r="D161">
        <v>1554614.5048828099</v>
      </c>
      <c r="E161">
        <v>59423.5771484375</v>
      </c>
      <c r="F161">
        <v>2302.46</v>
      </c>
      <c r="G161" t="s">
        <v>7</v>
      </c>
      <c r="H161">
        <v>300</v>
      </c>
      <c r="I161">
        <f t="shared" ref="I161:J163" si="24">D161/(C161+D161)</f>
        <v>0.99999099463315122</v>
      </c>
      <c r="J161" s="6">
        <f t="shared" si="24"/>
        <v>3.6816713192822342E-2</v>
      </c>
      <c r="K161" s="2">
        <f>(J161*$N$3)/$N$2</f>
        <v>0.12646962547152713</v>
      </c>
    </row>
    <row r="162" spans="1:11" x14ac:dyDescent="0.3">
      <c r="A162" t="s">
        <v>4</v>
      </c>
      <c r="B162">
        <v>4</v>
      </c>
      <c r="C162">
        <v>16</v>
      </c>
      <c r="D162">
        <v>1391617.9379882801</v>
      </c>
      <c r="E162">
        <v>78007.677246093794</v>
      </c>
      <c r="F162">
        <v>2317.17</v>
      </c>
      <c r="G162" t="s">
        <v>7</v>
      </c>
      <c r="H162">
        <v>300</v>
      </c>
      <c r="I162">
        <f t="shared" si="24"/>
        <v>0.9999885027236235</v>
      </c>
      <c r="J162" s="6">
        <f t="shared" si="24"/>
        <v>5.3079965698374983E-2</v>
      </c>
      <c r="K162" s="2">
        <f>(J162*$N$3)/$N$2</f>
        <v>0.18233576003258581</v>
      </c>
    </row>
    <row r="163" spans="1:11" x14ac:dyDescent="0.3">
      <c r="A163" t="s">
        <v>4</v>
      </c>
      <c r="B163">
        <v>4</v>
      </c>
      <c r="C163">
        <v>18</v>
      </c>
      <c r="D163">
        <v>1324130.6806640599</v>
      </c>
      <c r="E163">
        <v>54515.984863281301</v>
      </c>
      <c r="F163">
        <v>2331.7800000000002</v>
      </c>
      <c r="G163" t="s">
        <v>7</v>
      </c>
      <c r="H163">
        <v>300</v>
      </c>
      <c r="I163">
        <f t="shared" si="24"/>
        <v>0.99998640636035607</v>
      </c>
      <c r="J163" s="6">
        <f t="shared" si="24"/>
        <v>3.9543115887803341E-2</v>
      </c>
      <c r="K163" s="2">
        <f>(J163*$N$3)/$N$2</f>
        <v>0.13583513091230154</v>
      </c>
    </row>
    <row r="164" spans="1:11" x14ac:dyDescent="0.3">
      <c r="A164" t="s">
        <v>4</v>
      </c>
      <c r="B164">
        <v>2001</v>
      </c>
      <c r="C164">
        <v>2</v>
      </c>
      <c r="D164">
        <v>0</v>
      </c>
      <c r="E164">
        <v>0</v>
      </c>
      <c r="F164">
        <v>2346.2600000000002</v>
      </c>
    </row>
    <row r="165" spans="1:11" x14ac:dyDescent="0.3">
      <c r="A165" t="s">
        <v>4</v>
      </c>
      <c r="B165">
        <v>2001</v>
      </c>
      <c r="C165">
        <v>3</v>
      </c>
      <c r="D165">
        <v>0</v>
      </c>
      <c r="E165">
        <v>0</v>
      </c>
      <c r="F165">
        <v>2360.4499999999998</v>
      </c>
    </row>
    <row r="166" spans="1:11" x14ac:dyDescent="0.3">
      <c r="A166" t="s">
        <v>4</v>
      </c>
      <c r="B166">
        <v>4</v>
      </c>
      <c r="C166">
        <v>20</v>
      </c>
      <c r="D166">
        <v>531731.955078125</v>
      </c>
      <c r="E166">
        <v>3186342.6357421898</v>
      </c>
      <c r="F166">
        <v>2375.1999999999998</v>
      </c>
      <c r="G166" t="s">
        <v>6</v>
      </c>
      <c r="H166">
        <v>300</v>
      </c>
      <c r="I166">
        <f t="shared" ref="I166:J168" si="25">D166/(C166+D166)</f>
        <v>0.99996238847867125</v>
      </c>
      <c r="J166" s="6">
        <f t="shared" si="25"/>
        <v>0.85698728143030356</v>
      </c>
      <c r="K166" s="2">
        <f>(J166*$N$3)/$N$2</f>
        <v>2.9438494400277602</v>
      </c>
    </row>
    <row r="167" spans="1:11" x14ac:dyDescent="0.3">
      <c r="A167" t="s">
        <v>4</v>
      </c>
      <c r="B167">
        <v>4</v>
      </c>
      <c r="C167">
        <v>22</v>
      </c>
      <c r="D167">
        <v>538014.16015625</v>
      </c>
      <c r="E167">
        <v>3006355.69140625</v>
      </c>
      <c r="F167">
        <v>2389.9</v>
      </c>
      <c r="G167" t="s">
        <v>6</v>
      </c>
      <c r="H167">
        <v>300</v>
      </c>
      <c r="I167">
        <f t="shared" si="25"/>
        <v>0.99995911055496045</v>
      </c>
      <c r="J167" s="6">
        <f t="shared" si="25"/>
        <v>0.8482059766084874</v>
      </c>
      <c r="K167" s="2">
        <f>(J167*$N$3)/$N$2</f>
        <v>2.9136846524719031</v>
      </c>
    </row>
    <row r="168" spans="1:11" x14ac:dyDescent="0.3">
      <c r="A168" t="s">
        <v>4</v>
      </c>
      <c r="B168">
        <v>4</v>
      </c>
      <c r="C168">
        <v>24</v>
      </c>
      <c r="D168">
        <v>640971.529296875</v>
      </c>
      <c r="E168">
        <v>3303709.8984375</v>
      </c>
      <c r="F168">
        <v>2404.59</v>
      </c>
      <c r="G168" t="s">
        <v>6</v>
      </c>
      <c r="H168">
        <v>300</v>
      </c>
      <c r="I168">
        <f t="shared" si="25"/>
        <v>0.99996255824119973</v>
      </c>
      <c r="J168" s="6">
        <f t="shared" si="25"/>
        <v>0.83750993811811658</v>
      </c>
      <c r="K168" s="2">
        <f>(J168*$N$3)/$N$2</f>
        <v>2.8769425355202478</v>
      </c>
    </row>
    <row r="169" spans="1:11" x14ac:dyDescent="0.3">
      <c r="A169" t="s">
        <v>4</v>
      </c>
      <c r="B169">
        <v>2001</v>
      </c>
      <c r="C169">
        <v>2</v>
      </c>
      <c r="D169">
        <v>0</v>
      </c>
      <c r="E169">
        <v>0</v>
      </c>
      <c r="F169">
        <v>2419.0500000000002</v>
      </c>
    </row>
    <row r="170" spans="1:11" x14ac:dyDescent="0.3">
      <c r="A170" t="s">
        <v>4</v>
      </c>
      <c r="B170">
        <v>2001</v>
      </c>
      <c r="C170">
        <v>3</v>
      </c>
      <c r="D170">
        <v>0</v>
      </c>
      <c r="E170">
        <v>0</v>
      </c>
      <c r="F170">
        <v>2433.2399999999998</v>
      </c>
    </row>
    <row r="171" spans="1:11" x14ac:dyDescent="0.3">
      <c r="A171" t="s">
        <v>4</v>
      </c>
      <c r="B171">
        <v>2001</v>
      </c>
      <c r="C171">
        <v>2</v>
      </c>
      <c r="D171">
        <v>0</v>
      </c>
      <c r="E171">
        <v>0</v>
      </c>
      <c r="F171">
        <v>2447.5700000000002</v>
      </c>
    </row>
    <row r="172" spans="1:11" x14ac:dyDescent="0.3">
      <c r="A172" t="s">
        <v>4</v>
      </c>
      <c r="B172">
        <v>2001</v>
      </c>
      <c r="C172">
        <v>3</v>
      </c>
      <c r="D172">
        <v>0</v>
      </c>
      <c r="E172">
        <v>0</v>
      </c>
      <c r="F172">
        <v>2461.87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Pp_Sml</vt:lpstr>
      <vt:lpstr>Pp_Lrg</vt:lpstr>
      <vt:lpstr>PuPCO</vt:lpstr>
      <vt:lpstr>Fs-L</vt:lpstr>
      <vt:lpstr>Gc</vt:lpstr>
      <vt:lpstr>Pp-L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Coffee Wren</dc:creator>
  <cp:lastModifiedBy>Oliver Eyre</cp:lastModifiedBy>
  <dcterms:created xsi:type="dcterms:W3CDTF">2015-06-05T18:17:20Z</dcterms:created>
  <dcterms:modified xsi:type="dcterms:W3CDTF">2026-05-13T13:16:35Z</dcterms:modified>
</cp:coreProperties>
</file>