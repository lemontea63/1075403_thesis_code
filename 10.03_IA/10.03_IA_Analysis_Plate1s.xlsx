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RF Data/10.03_IA/"/>
    </mc:Choice>
  </mc:AlternateContent>
  <xr:revisionPtr revIDLastSave="55" documentId="8_{A4451693-A239-4D82-9125-A68D9235A1B7}" xr6:coauthVersionLast="47" xr6:coauthVersionMax="47" xr10:uidLastSave="{0C9790A4-9D5E-4EFE-8227-1B635D639A10}"/>
  <bookViews>
    <workbookView xWindow="-108" yWindow="-108" windowWidth="23256" windowHeight="13896" firstSheet="2" activeTab="2" xr2:uid="{00000000-000D-0000-FFFF-FFFF00000000}"/>
  </bookViews>
  <sheets>
    <sheet name="Pp_Sml" sheetId="1" r:id="rId1"/>
    <sheet name="Pp_Lrg" sheetId="2" r:id="rId2"/>
    <sheet name="At4_1" sheetId="3" r:id="rId3"/>
    <sheet name="Pp_S" sheetId="4" r:id="rId4"/>
    <sheet name="At4_2" sheetId="5" r:id="rId5"/>
    <sheet name="Fs_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5" l="1"/>
  <c r="O20" i="5"/>
  <c r="N19" i="5"/>
  <c r="N20" i="5"/>
  <c r="N13" i="5"/>
  <c r="N12" i="5"/>
  <c r="N11" i="5"/>
  <c r="N10" i="5"/>
  <c r="N9" i="5"/>
  <c r="K169" i="3"/>
  <c r="K168" i="3"/>
  <c r="K167" i="3"/>
  <c r="K164" i="3"/>
  <c r="K163" i="3"/>
  <c r="K162" i="3"/>
  <c r="K157" i="3"/>
  <c r="K156" i="3"/>
  <c r="K155" i="3"/>
  <c r="K152" i="3"/>
  <c r="K151" i="3"/>
  <c r="K150" i="3"/>
  <c r="K143" i="3"/>
  <c r="K142" i="3"/>
  <c r="K141" i="3"/>
  <c r="K136" i="3"/>
  <c r="K135" i="3"/>
  <c r="K134" i="3"/>
  <c r="K129" i="3"/>
  <c r="K128" i="3"/>
  <c r="K127" i="3"/>
  <c r="K122" i="3"/>
  <c r="K121" i="3"/>
  <c r="K120" i="3"/>
  <c r="K115" i="3"/>
  <c r="K114" i="3"/>
  <c r="K113" i="3"/>
  <c r="K108" i="3"/>
  <c r="K107" i="3"/>
  <c r="K106" i="3"/>
  <c r="K99" i="3"/>
  <c r="K98" i="3"/>
  <c r="K97" i="3"/>
  <c r="K94" i="3"/>
  <c r="K93" i="3"/>
  <c r="K92" i="3"/>
  <c r="K87" i="3"/>
  <c r="K86" i="3"/>
  <c r="K85" i="3"/>
  <c r="K82" i="3"/>
  <c r="K81" i="3"/>
  <c r="K80" i="3"/>
  <c r="K75" i="3"/>
  <c r="K74" i="3"/>
  <c r="K73" i="3"/>
  <c r="K70" i="3"/>
  <c r="K69" i="3"/>
  <c r="K68" i="3"/>
  <c r="K63" i="3"/>
  <c r="K62" i="3"/>
  <c r="K61" i="3"/>
  <c r="K58" i="3"/>
  <c r="K57" i="3"/>
  <c r="K56" i="3"/>
  <c r="K51" i="3"/>
  <c r="K50" i="3"/>
  <c r="K49" i="3"/>
  <c r="K46" i="3"/>
  <c r="K45" i="3"/>
  <c r="K44" i="3"/>
  <c r="K39" i="3"/>
  <c r="K38" i="3"/>
  <c r="K37" i="3"/>
  <c r="K34" i="3"/>
  <c r="K33" i="3"/>
  <c r="K32" i="3"/>
  <c r="K27" i="3"/>
  <c r="K26" i="3"/>
  <c r="K25" i="3"/>
  <c r="K22" i="3"/>
  <c r="K21" i="3"/>
  <c r="K20" i="3"/>
  <c r="K15" i="3"/>
  <c r="K14" i="3"/>
  <c r="K13" i="3"/>
  <c r="K10" i="3"/>
  <c r="K8" i="3"/>
  <c r="K9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S16" i="4"/>
  <c r="S13" i="4"/>
  <c r="S12" i="4"/>
  <c r="S11" i="4"/>
  <c r="S20" i="5"/>
  <c r="S19" i="5"/>
  <c r="S15" i="5"/>
  <c r="S14" i="5"/>
  <c r="R14" i="5"/>
  <c r="R15" i="5"/>
  <c r="J168" i="4"/>
  <c r="J167" i="4"/>
  <c r="J166" i="4"/>
  <c r="J163" i="4"/>
  <c r="J162" i="4"/>
  <c r="K162" i="4" s="1"/>
  <c r="J161" i="4"/>
  <c r="J156" i="4"/>
  <c r="J155" i="4"/>
  <c r="S20" i="4" s="1"/>
  <c r="J154" i="4"/>
  <c r="J151" i="4"/>
  <c r="J150" i="4"/>
  <c r="J149" i="4"/>
  <c r="K149" i="4" s="1"/>
  <c r="J142" i="4"/>
  <c r="J141" i="4"/>
  <c r="K141" i="4" s="1"/>
  <c r="J140" i="4"/>
  <c r="J135" i="4"/>
  <c r="J134" i="4"/>
  <c r="J133" i="4"/>
  <c r="J128" i="4"/>
  <c r="J127" i="4"/>
  <c r="S18" i="4" s="1"/>
  <c r="J126" i="4"/>
  <c r="K126" i="4" s="1"/>
  <c r="J121" i="4"/>
  <c r="J120" i="4"/>
  <c r="J119" i="4"/>
  <c r="K119" i="4" s="1"/>
  <c r="J114" i="4"/>
  <c r="R17" i="4" s="1"/>
  <c r="J113" i="4"/>
  <c r="S17" i="4" s="1"/>
  <c r="J112" i="4"/>
  <c r="J107" i="4"/>
  <c r="K107" i="4" s="1"/>
  <c r="J106" i="4"/>
  <c r="J105" i="4"/>
  <c r="J98" i="4"/>
  <c r="J97" i="4"/>
  <c r="J96" i="4"/>
  <c r="J93" i="4"/>
  <c r="J92" i="4"/>
  <c r="K92" i="4" s="1"/>
  <c r="J91" i="4"/>
  <c r="J86" i="4"/>
  <c r="R15" i="4" s="1"/>
  <c r="J85" i="4"/>
  <c r="S15" i="4" s="1"/>
  <c r="J84" i="4"/>
  <c r="J81" i="4"/>
  <c r="J80" i="4"/>
  <c r="K80" i="4" s="1"/>
  <c r="J79" i="4"/>
  <c r="J74" i="4"/>
  <c r="J73" i="4"/>
  <c r="S14" i="4" s="1"/>
  <c r="J72" i="4"/>
  <c r="J69" i="4"/>
  <c r="J68" i="4"/>
  <c r="J67" i="4"/>
  <c r="K67" i="4" s="1"/>
  <c r="J62" i="4"/>
  <c r="J61" i="4"/>
  <c r="J60" i="4"/>
  <c r="J57" i="4"/>
  <c r="J56" i="4"/>
  <c r="K56" i="4" s="1"/>
  <c r="J55" i="4"/>
  <c r="J50" i="4"/>
  <c r="J49" i="4"/>
  <c r="R12" i="4" s="1"/>
  <c r="J48" i="4"/>
  <c r="J45" i="4"/>
  <c r="J44" i="4"/>
  <c r="J43" i="4"/>
  <c r="K43" i="4" s="1"/>
  <c r="J38" i="4"/>
  <c r="J37" i="4"/>
  <c r="J36" i="4"/>
  <c r="K36" i="4" s="1"/>
  <c r="J33" i="4"/>
  <c r="J32" i="4"/>
  <c r="J31" i="4"/>
  <c r="J26" i="4"/>
  <c r="J25" i="4"/>
  <c r="K25" i="4" s="1"/>
  <c r="J24" i="4"/>
  <c r="R10" i="4" s="1"/>
  <c r="J21" i="4"/>
  <c r="J20" i="4"/>
  <c r="J19" i="4"/>
  <c r="I21" i="4"/>
  <c r="I20" i="4"/>
  <c r="I19" i="4"/>
  <c r="I14" i="4"/>
  <c r="I13" i="4"/>
  <c r="I12" i="4"/>
  <c r="I8" i="4"/>
  <c r="I9" i="4"/>
  <c r="I7" i="4"/>
  <c r="R13" i="5"/>
  <c r="R11" i="5"/>
  <c r="R16" i="4"/>
  <c r="R13" i="4"/>
  <c r="R11" i="4"/>
  <c r="R19" i="4"/>
  <c r="J16" i="5"/>
  <c r="J15" i="5"/>
  <c r="J14" i="5"/>
  <c r="R9" i="5" s="1"/>
  <c r="J167" i="3"/>
  <c r="J28" i="5"/>
  <c r="J27" i="5"/>
  <c r="J26" i="5"/>
  <c r="R10" i="5" s="1"/>
  <c r="J40" i="5"/>
  <c r="J39" i="5"/>
  <c r="J38" i="5"/>
  <c r="S11" i="5" s="1"/>
  <c r="J52" i="5"/>
  <c r="J51" i="5"/>
  <c r="J50" i="5"/>
  <c r="S12" i="5" s="1"/>
  <c r="J64" i="5"/>
  <c r="J63" i="5"/>
  <c r="J62" i="5"/>
  <c r="S13" i="5" s="1"/>
  <c r="J88" i="5"/>
  <c r="J86" i="5"/>
  <c r="J76" i="5"/>
  <c r="J75" i="5"/>
  <c r="J74" i="5"/>
  <c r="J87" i="5"/>
  <c r="J83" i="5"/>
  <c r="J168" i="6"/>
  <c r="K168" i="6" s="1"/>
  <c r="I168" i="6"/>
  <c r="J167" i="6"/>
  <c r="K167" i="6" s="1"/>
  <c r="I167" i="6"/>
  <c r="J166" i="6"/>
  <c r="K166" i="6" s="1"/>
  <c r="I166" i="6"/>
  <c r="J163" i="6"/>
  <c r="K163" i="6" s="1"/>
  <c r="I163" i="6"/>
  <c r="J162" i="6"/>
  <c r="K162" i="6" s="1"/>
  <c r="I162" i="6"/>
  <c r="J161" i="6"/>
  <c r="K161" i="6" s="1"/>
  <c r="I161" i="6"/>
  <c r="J156" i="6"/>
  <c r="K156" i="6" s="1"/>
  <c r="I156" i="6"/>
  <c r="J155" i="6"/>
  <c r="K155" i="6" s="1"/>
  <c r="I155" i="6"/>
  <c r="J154" i="6"/>
  <c r="K154" i="6" s="1"/>
  <c r="I154" i="6"/>
  <c r="J151" i="6"/>
  <c r="K151" i="6" s="1"/>
  <c r="I151" i="6"/>
  <c r="J150" i="6"/>
  <c r="K150" i="6" s="1"/>
  <c r="I150" i="6"/>
  <c r="J149" i="6"/>
  <c r="K149" i="6" s="1"/>
  <c r="I149" i="6"/>
  <c r="J142" i="6"/>
  <c r="K142" i="6" s="1"/>
  <c r="I142" i="6"/>
  <c r="J141" i="6"/>
  <c r="K141" i="6" s="1"/>
  <c r="I141" i="6"/>
  <c r="J140" i="6"/>
  <c r="K140" i="6" s="1"/>
  <c r="I140" i="6"/>
  <c r="J135" i="6"/>
  <c r="K135" i="6" s="1"/>
  <c r="I135" i="6"/>
  <c r="J134" i="6"/>
  <c r="K134" i="6" s="1"/>
  <c r="I134" i="6"/>
  <c r="J133" i="6"/>
  <c r="K133" i="6" s="1"/>
  <c r="I133" i="6"/>
  <c r="J170" i="5"/>
  <c r="K170" i="5" s="1"/>
  <c r="I170" i="5"/>
  <c r="J169" i="5"/>
  <c r="K169" i="5" s="1"/>
  <c r="I169" i="5"/>
  <c r="J168" i="5"/>
  <c r="K168" i="5" s="1"/>
  <c r="I168" i="5"/>
  <c r="J165" i="5"/>
  <c r="K165" i="5" s="1"/>
  <c r="I165" i="5"/>
  <c r="J164" i="5"/>
  <c r="K164" i="5" s="1"/>
  <c r="I164" i="5"/>
  <c r="J163" i="5"/>
  <c r="K163" i="5" s="1"/>
  <c r="I163" i="5"/>
  <c r="J158" i="5"/>
  <c r="K158" i="5" s="1"/>
  <c r="I158" i="5"/>
  <c r="J157" i="5"/>
  <c r="K157" i="5" s="1"/>
  <c r="I157" i="5"/>
  <c r="J156" i="5"/>
  <c r="K156" i="5" s="1"/>
  <c r="I156" i="5"/>
  <c r="J153" i="5"/>
  <c r="K153" i="5" s="1"/>
  <c r="I153" i="5"/>
  <c r="J152" i="5"/>
  <c r="K152" i="5" s="1"/>
  <c r="I152" i="5"/>
  <c r="J151" i="5"/>
  <c r="K151" i="5" s="1"/>
  <c r="I151" i="5"/>
  <c r="K144" i="5"/>
  <c r="J144" i="5"/>
  <c r="I144" i="5"/>
  <c r="J143" i="5"/>
  <c r="K143" i="5" s="1"/>
  <c r="I143" i="5"/>
  <c r="J142" i="5"/>
  <c r="K142" i="5" s="1"/>
  <c r="I142" i="5"/>
  <c r="J137" i="5"/>
  <c r="K137" i="5" s="1"/>
  <c r="I137" i="5"/>
  <c r="J136" i="5"/>
  <c r="K136" i="5" s="1"/>
  <c r="I136" i="5"/>
  <c r="J135" i="5"/>
  <c r="K135" i="5" s="1"/>
  <c r="I135" i="5"/>
  <c r="J169" i="3"/>
  <c r="I169" i="3"/>
  <c r="J168" i="3"/>
  <c r="I168" i="3"/>
  <c r="I167" i="3"/>
  <c r="J164" i="3"/>
  <c r="I164" i="3"/>
  <c r="J163" i="3"/>
  <c r="I163" i="3"/>
  <c r="J162" i="3"/>
  <c r="I162" i="3"/>
  <c r="J157" i="3"/>
  <c r="I157" i="3"/>
  <c r="J156" i="3"/>
  <c r="I156" i="3"/>
  <c r="J155" i="3"/>
  <c r="I155" i="3"/>
  <c r="J152" i="3"/>
  <c r="I152" i="3"/>
  <c r="J151" i="3"/>
  <c r="I151" i="3"/>
  <c r="J150" i="3"/>
  <c r="I150" i="3"/>
  <c r="J143" i="3"/>
  <c r="I143" i="3"/>
  <c r="J142" i="3"/>
  <c r="I142" i="3"/>
  <c r="J141" i="3"/>
  <c r="I141" i="3"/>
  <c r="J136" i="3"/>
  <c r="I136" i="3"/>
  <c r="J135" i="3"/>
  <c r="I135" i="3"/>
  <c r="J134" i="3"/>
  <c r="I134" i="3"/>
  <c r="J129" i="3"/>
  <c r="I129" i="3"/>
  <c r="J128" i="3"/>
  <c r="I128" i="3"/>
  <c r="J127" i="3"/>
  <c r="I127" i="3"/>
  <c r="J122" i="3"/>
  <c r="I122" i="3"/>
  <c r="J121" i="3"/>
  <c r="I121" i="3"/>
  <c r="J120" i="3"/>
  <c r="I120" i="3"/>
  <c r="J115" i="3"/>
  <c r="I115" i="3"/>
  <c r="J114" i="3"/>
  <c r="I114" i="3"/>
  <c r="J113" i="3"/>
  <c r="I113" i="3"/>
  <c r="J108" i="3"/>
  <c r="I108" i="3"/>
  <c r="J107" i="3"/>
  <c r="I107" i="3"/>
  <c r="J106" i="3"/>
  <c r="I106" i="3"/>
  <c r="J99" i="3"/>
  <c r="I99" i="3"/>
  <c r="J98" i="3"/>
  <c r="I98" i="3"/>
  <c r="J97" i="3"/>
  <c r="I97" i="3"/>
  <c r="J94" i="3"/>
  <c r="I94" i="3"/>
  <c r="J93" i="3"/>
  <c r="I93" i="3"/>
  <c r="J92" i="3"/>
  <c r="I92" i="3"/>
  <c r="J87" i="3"/>
  <c r="I87" i="3"/>
  <c r="J86" i="3"/>
  <c r="I86" i="3"/>
  <c r="J85" i="3"/>
  <c r="I85" i="3"/>
  <c r="J82" i="3"/>
  <c r="I82" i="3"/>
  <c r="J81" i="3"/>
  <c r="I81" i="3"/>
  <c r="J80" i="3"/>
  <c r="I80" i="3"/>
  <c r="J75" i="3"/>
  <c r="I75" i="3"/>
  <c r="J74" i="3"/>
  <c r="I74" i="3"/>
  <c r="J73" i="3"/>
  <c r="I73" i="3"/>
  <c r="J70" i="3"/>
  <c r="I70" i="3"/>
  <c r="J69" i="3"/>
  <c r="I69" i="3"/>
  <c r="J68" i="3"/>
  <c r="I68" i="3"/>
  <c r="J63" i="3"/>
  <c r="I63" i="3"/>
  <c r="J62" i="3"/>
  <c r="I62" i="3"/>
  <c r="J61" i="3"/>
  <c r="I61" i="3"/>
  <c r="J58" i="3"/>
  <c r="I58" i="3"/>
  <c r="J57" i="3"/>
  <c r="I57" i="3"/>
  <c r="J56" i="3"/>
  <c r="I56" i="3"/>
  <c r="J51" i="3"/>
  <c r="I51" i="3"/>
  <c r="J50" i="3"/>
  <c r="I50" i="3"/>
  <c r="J49" i="3"/>
  <c r="I49" i="3"/>
  <c r="J46" i="3"/>
  <c r="I46" i="3"/>
  <c r="J45" i="3"/>
  <c r="I45" i="3"/>
  <c r="J44" i="3"/>
  <c r="I44" i="3"/>
  <c r="J39" i="3"/>
  <c r="I39" i="3"/>
  <c r="J38" i="3"/>
  <c r="I38" i="3"/>
  <c r="J37" i="3"/>
  <c r="I37" i="3"/>
  <c r="J34" i="3"/>
  <c r="I34" i="3"/>
  <c r="J33" i="3"/>
  <c r="I33" i="3"/>
  <c r="J32" i="3"/>
  <c r="I32" i="3"/>
  <c r="J27" i="3"/>
  <c r="I27" i="3"/>
  <c r="J26" i="3"/>
  <c r="I26" i="3"/>
  <c r="J25" i="3"/>
  <c r="I25" i="3"/>
  <c r="J22" i="3"/>
  <c r="I22" i="3"/>
  <c r="J21" i="3"/>
  <c r="I21" i="3"/>
  <c r="J20" i="3"/>
  <c r="I20" i="3"/>
  <c r="J15" i="3"/>
  <c r="I15" i="3"/>
  <c r="J14" i="3"/>
  <c r="I14" i="3"/>
  <c r="J13" i="3"/>
  <c r="I13" i="3"/>
  <c r="J10" i="3"/>
  <c r="I10" i="3"/>
  <c r="J9" i="3"/>
  <c r="I9" i="3"/>
  <c r="J8" i="3"/>
  <c r="I8" i="3"/>
  <c r="J9" i="4"/>
  <c r="K9" i="4" s="1"/>
  <c r="J8" i="4"/>
  <c r="K8" i="4" s="1"/>
  <c r="J7" i="4"/>
  <c r="K7" i="4" s="1"/>
  <c r="J14" i="4"/>
  <c r="K14" i="4" s="1"/>
  <c r="J13" i="4"/>
  <c r="K13" i="4" s="1"/>
  <c r="K12" i="4"/>
  <c r="O8" i="4" s="1"/>
  <c r="J12" i="4"/>
  <c r="R9" i="4" s="1"/>
  <c r="K21" i="4"/>
  <c r="K20" i="4"/>
  <c r="K19" i="4"/>
  <c r="K26" i="4"/>
  <c r="I26" i="4"/>
  <c r="I25" i="4"/>
  <c r="K24" i="4"/>
  <c r="O9" i="4" s="1"/>
  <c r="I24" i="4"/>
  <c r="K33" i="4"/>
  <c r="I33" i="4"/>
  <c r="K32" i="4"/>
  <c r="I32" i="4"/>
  <c r="K31" i="4"/>
  <c r="I31" i="4"/>
  <c r="K38" i="4"/>
  <c r="I38" i="4"/>
  <c r="K37" i="4"/>
  <c r="I37" i="4"/>
  <c r="I36" i="4"/>
  <c r="K45" i="4"/>
  <c r="I45" i="4"/>
  <c r="K44" i="4"/>
  <c r="I44" i="4"/>
  <c r="I43" i="4"/>
  <c r="K50" i="4"/>
  <c r="I50" i="4"/>
  <c r="K49" i="4"/>
  <c r="I49" i="4"/>
  <c r="K48" i="4"/>
  <c r="O11" i="4" s="1"/>
  <c r="I48" i="4"/>
  <c r="K62" i="4"/>
  <c r="I62" i="4"/>
  <c r="K61" i="4"/>
  <c r="I61" i="4"/>
  <c r="K60" i="4"/>
  <c r="I60" i="4"/>
  <c r="K57" i="4"/>
  <c r="I57" i="4"/>
  <c r="I56" i="4"/>
  <c r="K55" i="4"/>
  <c r="I55" i="4"/>
  <c r="I86" i="4"/>
  <c r="K85" i="4"/>
  <c r="I85" i="4"/>
  <c r="K84" i="4"/>
  <c r="I84" i="4"/>
  <c r="K168" i="4"/>
  <c r="I168" i="4"/>
  <c r="K167" i="4"/>
  <c r="I167" i="4"/>
  <c r="K166" i="4"/>
  <c r="I166" i="4"/>
  <c r="K163" i="4"/>
  <c r="I163" i="4"/>
  <c r="I162" i="4"/>
  <c r="K161" i="4"/>
  <c r="I161" i="4"/>
  <c r="K156" i="4"/>
  <c r="I156" i="4"/>
  <c r="K155" i="4"/>
  <c r="I155" i="4"/>
  <c r="K154" i="4"/>
  <c r="I154" i="4"/>
  <c r="K151" i="4"/>
  <c r="I151" i="4"/>
  <c r="K150" i="4"/>
  <c r="I150" i="4"/>
  <c r="I149" i="4"/>
  <c r="K68" i="4"/>
  <c r="K69" i="4"/>
  <c r="K72" i="4"/>
  <c r="K74" i="4"/>
  <c r="K79" i="4"/>
  <c r="K81" i="4"/>
  <c r="K91" i="4"/>
  <c r="K93" i="4"/>
  <c r="K96" i="4"/>
  <c r="K97" i="4"/>
  <c r="K98" i="4"/>
  <c r="K105" i="4"/>
  <c r="K106" i="4"/>
  <c r="K112" i="4"/>
  <c r="K113" i="4"/>
  <c r="K114" i="4"/>
  <c r="K120" i="4"/>
  <c r="K121" i="4"/>
  <c r="K127" i="4"/>
  <c r="K128" i="4"/>
  <c r="K133" i="4"/>
  <c r="K134" i="4"/>
  <c r="K135" i="4"/>
  <c r="K140" i="4"/>
  <c r="K142" i="4"/>
  <c r="I142" i="4"/>
  <c r="I141" i="4"/>
  <c r="I140" i="4"/>
  <c r="I135" i="4"/>
  <c r="I134" i="4"/>
  <c r="I133" i="4"/>
  <c r="I128" i="4"/>
  <c r="I127" i="4"/>
  <c r="I126" i="4"/>
  <c r="I121" i="4"/>
  <c r="I120" i="4"/>
  <c r="I119" i="4"/>
  <c r="I114" i="4"/>
  <c r="I113" i="4"/>
  <c r="I112" i="4"/>
  <c r="I107" i="4"/>
  <c r="I106" i="4"/>
  <c r="I105" i="4"/>
  <c r="I98" i="4"/>
  <c r="I97" i="4"/>
  <c r="I96" i="4"/>
  <c r="I93" i="4"/>
  <c r="I92" i="4"/>
  <c r="I91" i="4"/>
  <c r="I81" i="4"/>
  <c r="I80" i="4"/>
  <c r="I79" i="4"/>
  <c r="I74" i="4"/>
  <c r="I73" i="4"/>
  <c r="I72" i="4"/>
  <c r="I69" i="4"/>
  <c r="I68" i="4"/>
  <c r="I67" i="4"/>
  <c r="R16" i="1"/>
  <c r="S16" i="1"/>
  <c r="R17" i="1"/>
  <c r="S17" i="1"/>
  <c r="R18" i="1"/>
  <c r="S18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11" i="2"/>
  <c r="S10" i="2"/>
  <c r="S9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R11" i="2"/>
  <c r="R10" i="2"/>
  <c r="R9" i="2"/>
  <c r="I144" i="1"/>
  <c r="I143" i="1"/>
  <c r="I142" i="1"/>
  <c r="I137" i="1"/>
  <c r="I136" i="1"/>
  <c r="I135" i="1"/>
  <c r="I130" i="1"/>
  <c r="I129" i="1"/>
  <c r="I128" i="1"/>
  <c r="I123" i="1"/>
  <c r="I122" i="1"/>
  <c r="I121" i="1"/>
  <c r="I116" i="1"/>
  <c r="I115" i="1"/>
  <c r="I114" i="1"/>
  <c r="I109" i="1"/>
  <c r="I108" i="1"/>
  <c r="I107" i="1"/>
  <c r="I100" i="1"/>
  <c r="I99" i="1"/>
  <c r="I98" i="1"/>
  <c r="I95" i="1"/>
  <c r="I94" i="1"/>
  <c r="I93" i="1"/>
  <c r="I88" i="1"/>
  <c r="I87" i="1"/>
  <c r="I86" i="1"/>
  <c r="I83" i="1"/>
  <c r="I82" i="1"/>
  <c r="I81" i="1"/>
  <c r="I76" i="1"/>
  <c r="I75" i="1"/>
  <c r="I74" i="1"/>
  <c r="I71" i="1"/>
  <c r="I70" i="1"/>
  <c r="I69" i="1"/>
  <c r="I64" i="1"/>
  <c r="I63" i="1"/>
  <c r="I62" i="1"/>
  <c r="I59" i="1"/>
  <c r="I58" i="1"/>
  <c r="I57" i="1"/>
  <c r="I52" i="1"/>
  <c r="I51" i="1"/>
  <c r="I50" i="1"/>
  <c r="I47" i="1"/>
  <c r="I46" i="1"/>
  <c r="I45" i="1"/>
  <c r="I40" i="1"/>
  <c r="I39" i="1"/>
  <c r="I38" i="1"/>
  <c r="I35" i="1"/>
  <c r="I34" i="1"/>
  <c r="I33" i="1"/>
  <c r="I28" i="1"/>
  <c r="I27" i="1"/>
  <c r="I26" i="1"/>
  <c r="I23" i="1"/>
  <c r="I22" i="1"/>
  <c r="I21" i="1"/>
  <c r="I16" i="1"/>
  <c r="I15" i="1"/>
  <c r="I14" i="1"/>
  <c r="I11" i="1"/>
  <c r="I10" i="1"/>
  <c r="I9" i="1"/>
  <c r="I142" i="2"/>
  <c r="I141" i="2"/>
  <c r="I140" i="2"/>
  <c r="I135" i="2"/>
  <c r="I134" i="2"/>
  <c r="I133" i="2"/>
  <c r="I128" i="2"/>
  <c r="I127" i="2"/>
  <c r="I126" i="2"/>
  <c r="I121" i="2"/>
  <c r="I120" i="2"/>
  <c r="I119" i="2"/>
  <c r="I114" i="2"/>
  <c r="I113" i="2"/>
  <c r="I112" i="2"/>
  <c r="I107" i="2"/>
  <c r="I106" i="2"/>
  <c r="I105" i="2"/>
  <c r="I98" i="2"/>
  <c r="I97" i="2"/>
  <c r="I96" i="2"/>
  <c r="I93" i="2"/>
  <c r="I92" i="2"/>
  <c r="I91" i="2"/>
  <c r="I86" i="2"/>
  <c r="I85" i="2"/>
  <c r="I84" i="2"/>
  <c r="I81" i="2"/>
  <c r="I80" i="2"/>
  <c r="I79" i="2"/>
  <c r="I74" i="2"/>
  <c r="I73" i="2"/>
  <c r="I72" i="2"/>
  <c r="I69" i="2"/>
  <c r="I68" i="2"/>
  <c r="I67" i="2"/>
  <c r="I62" i="2"/>
  <c r="I61" i="2"/>
  <c r="I60" i="2"/>
  <c r="I57" i="2"/>
  <c r="I56" i="2"/>
  <c r="I55" i="2"/>
  <c r="I50" i="2"/>
  <c r="I49" i="2"/>
  <c r="I48" i="2"/>
  <c r="I45" i="2"/>
  <c r="I44" i="2"/>
  <c r="I43" i="2"/>
  <c r="I38" i="2"/>
  <c r="I37" i="2"/>
  <c r="I36" i="2"/>
  <c r="I33" i="2"/>
  <c r="I32" i="2"/>
  <c r="I31" i="2"/>
  <c r="I26" i="2"/>
  <c r="I25" i="2"/>
  <c r="I24" i="2"/>
  <c r="I21" i="2"/>
  <c r="I20" i="2"/>
  <c r="I19" i="2"/>
  <c r="I14" i="2"/>
  <c r="I13" i="2"/>
  <c r="I12" i="2"/>
  <c r="I9" i="2"/>
  <c r="I8" i="2"/>
  <c r="I7" i="2"/>
  <c r="I128" i="6"/>
  <c r="I127" i="6"/>
  <c r="I126" i="6"/>
  <c r="I121" i="6"/>
  <c r="I120" i="6"/>
  <c r="I119" i="6"/>
  <c r="I114" i="6"/>
  <c r="I113" i="6"/>
  <c r="I112" i="6"/>
  <c r="I107" i="6"/>
  <c r="I106" i="6"/>
  <c r="I105" i="6"/>
  <c r="I98" i="6"/>
  <c r="I97" i="6"/>
  <c r="I96" i="6"/>
  <c r="I93" i="6"/>
  <c r="I92" i="6"/>
  <c r="I91" i="6"/>
  <c r="I86" i="6"/>
  <c r="I85" i="6"/>
  <c r="I84" i="6"/>
  <c r="I81" i="6"/>
  <c r="I80" i="6"/>
  <c r="I79" i="6"/>
  <c r="I74" i="6"/>
  <c r="I73" i="6"/>
  <c r="I72" i="6"/>
  <c r="I69" i="6"/>
  <c r="I68" i="6"/>
  <c r="I67" i="6"/>
  <c r="I62" i="6"/>
  <c r="I61" i="6"/>
  <c r="I60" i="6"/>
  <c r="I57" i="6"/>
  <c r="I56" i="6"/>
  <c r="I55" i="6"/>
  <c r="I50" i="6"/>
  <c r="I49" i="6"/>
  <c r="I48" i="6"/>
  <c r="I45" i="6"/>
  <c r="I44" i="6"/>
  <c r="I43" i="6"/>
  <c r="I38" i="6"/>
  <c r="I37" i="6"/>
  <c r="I36" i="6"/>
  <c r="I33" i="6"/>
  <c r="I32" i="6"/>
  <c r="I31" i="6"/>
  <c r="I26" i="6"/>
  <c r="I25" i="6"/>
  <c r="I24" i="6"/>
  <c r="I21" i="6"/>
  <c r="I20" i="6"/>
  <c r="I19" i="6"/>
  <c r="I14" i="6"/>
  <c r="I13" i="6"/>
  <c r="I12" i="6"/>
  <c r="I9" i="6"/>
  <c r="I8" i="6"/>
  <c r="I7" i="6"/>
  <c r="I130" i="5"/>
  <c r="I129" i="5"/>
  <c r="I128" i="5"/>
  <c r="I123" i="5"/>
  <c r="I122" i="5"/>
  <c r="I121" i="5"/>
  <c r="I116" i="5"/>
  <c r="I115" i="5"/>
  <c r="I114" i="5"/>
  <c r="I109" i="5"/>
  <c r="I108" i="5"/>
  <c r="I107" i="5"/>
  <c r="I100" i="5"/>
  <c r="I99" i="5"/>
  <c r="I98" i="5"/>
  <c r="I95" i="5"/>
  <c r="I94" i="5"/>
  <c r="I93" i="5"/>
  <c r="I88" i="5"/>
  <c r="I87" i="5"/>
  <c r="I86" i="5"/>
  <c r="I83" i="5"/>
  <c r="I82" i="5"/>
  <c r="I81" i="5"/>
  <c r="I76" i="5"/>
  <c r="I75" i="5"/>
  <c r="I74" i="5"/>
  <c r="I71" i="5"/>
  <c r="I70" i="5"/>
  <c r="I69" i="5"/>
  <c r="I64" i="5"/>
  <c r="I63" i="5"/>
  <c r="I62" i="5"/>
  <c r="I59" i="5"/>
  <c r="I58" i="5"/>
  <c r="I57" i="5"/>
  <c r="I52" i="5"/>
  <c r="I51" i="5"/>
  <c r="I50" i="5"/>
  <c r="I47" i="5"/>
  <c r="I46" i="5"/>
  <c r="I45" i="5"/>
  <c r="I40" i="5"/>
  <c r="I39" i="5"/>
  <c r="I38" i="5"/>
  <c r="I35" i="5"/>
  <c r="I34" i="5"/>
  <c r="I33" i="5"/>
  <c r="I28" i="5"/>
  <c r="I27" i="5"/>
  <c r="I26" i="5"/>
  <c r="I23" i="5"/>
  <c r="I22" i="5"/>
  <c r="I21" i="5"/>
  <c r="I16" i="5"/>
  <c r="I15" i="5"/>
  <c r="I14" i="5"/>
  <c r="I11" i="5"/>
  <c r="I10" i="5"/>
  <c r="I9" i="5"/>
  <c r="J9" i="5"/>
  <c r="O19" i="4" l="1"/>
  <c r="O17" i="4"/>
  <c r="O12" i="4"/>
  <c r="R19" i="6"/>
  <c r="R20" i="6"/>
  <c r="S19" i="6"/>
  <c r="S20" i="6"/>
  <c r="R19" i="5"/>
  <c r="R20" i="5"/>
  <c r="R12" i="5"/>
  <c r="S9" i="5"/>
  <c r="S10" i="5"/>
  <c r="K73" i="4"/>
  <c r="R14" i="4"/>
  <c r="N13" i="4"/>
  <c r="K86" i="4"/>
  <c r="O14" i="4" s="1"/>
  <c r="S9" i="4"/>
  <c r="S10" i="4"/>
  <c r="O18" i="4"/>
  <c r="O15" i="4"/>
  <c r="R18" i="4"/>
  <c r="N9" i="4"/>
  <c r="R20" i="4"/>
  <c r="N18" i="4"/>
  <c r="S19" i="4"/>
  <c r="N20" i="6"/>
  <c r="N8" i="4"/>
  <c r="N17" i="4"/>
  <c r="N16" i="4"/>
  <c r="N15" i="4"/>
  <c r="N12" i="4"/>
  <c r="O13" i="4"/>
  <c r="N19" i="4"/>
  <c r="O20" i="6"/>
  <c r="N19" i="6"/>
  <c r="O19" i="6"/>
  <c r="O16" i="4"/>
  <c r="N11" i="4"/>
  <c r="N10" i="4"/>
  <c r="O10" i="4"/>
  <c r="J128" i="6"/>
  <c r="K128" i="6" s="1"/>
  <c r="J127" i="6"/>
  <c r="J126" i="6"/>
  <c r="J121" i="6"/>
  <c r="J120" i="6"/>
  <c r="J119" i="6"/>
  <c r="J114" i="6"/>
  <c r="K114" i="6" s="1"/>
  <c r="J113" i="6"/>
  <c r="J112" i="6"/>
  <c r="K112" i="6" s="1"/>
  <c r="J107" i="6"/>
  <c r="K107" i="6" s="1"/>
  <c r="J106" i="6"/>
  <c r="J105" i="6"/>
  <c r="J98" i="6"/>
  <c r="K98" i="6" s="1"/>
  <c r="J97" i="6"/>
  <c r="J96" i="6"/>
  <c r="K96" i="6" s="1"/>
  <c r="J93" i="6"/>
  <c r="K93" i="6" s="1"/>
  <c r="J92" i="6"/>
  <c r="K92" i="6" s="1"/>
  <c r="J91" i="6"/>
  <c r="J86" i="6"/>
  <c r="K86" i="6" s="1"/>
  <c r="J85" i="6"/>
  <c r="J84" i="6"/>
  <c r="K84" i="6" s="1"/>
  <c r="J81" i="6"/>
  <c r="K81" i="6" s="1"/>
  <c r="J80" i="6"/>
  <c r="K80" i="6" s="1"/>
  <c r="J79" i="6"/>
  <c r="J74" i="6"/>
  <c r="K74" i="6" s="1"/>
  <c r="J73" i="6"/>
  <c r="J72" i="6"/>
  <c r="J69" i="6"/>
  <c r="J68" i="6"/>
  <c r="J67" i="6"/>
  <c r="J62" i="6"/>
  <c r="K62" i="6" s="1"/>
  <c r="J61" i="6"/>
  <c r="J60" i="6"/>
  <c r="K60" i="6" s="1"/>
  <c r="J57" i="6"/>
  <c r="K57" i="6" s="1"/>
  <c r="J56" i="6"/>
  <c r="K56" i="6" s="1"/>
  <c r="J55" i="6"/>
  <c r="K55" i="6" s="1"/>
  <c r="J50" i="6"/>
  <c r="K50" i="6" s="1"/>
  <c r="J49" i="6"/>
  <c r="J48" i="6"/>
  <c r="K48" i="6" s="1"/>
  <c r="J45" i="6"/>
  <c r="K45" i="6" s="1"/>
  <c r="J44" i="6"/>
  <c r="K44" i="6" s="1"/>
  <c r="J43" i="6"/>
  <c r="K43" i="6" s="1"/>
  <c r="J38" i="6"/>
  <c r="J37" i="6"/>
  <c r="J36" i="6"/>
  <c r="J33" i="6"/>
  <c r="K33" i="6" s="1"/>
  <c r="J32" i="6"/>
  <c r="K32" i="6" s="1"/>
  <c r="J31" i="6"/>
  <c r="J26" i="6"/>
  <c r="K26" i="6" s="1"/>
  <c r="J25" i="6"/>
  <c r="K25" i="6" s="1"/>
  <c r="J24" i="6"/>
  <c r="J21" i="6"/>
  <c r="K21" i="6" s="1"/>
  <c r="J20" i="6"/>
  <c r="K20" i="6" s="1"/>
  <c r="J19" i="6"/>
  <c r="J14" i="6"/>
  <c r="K14" i="6" s="1"/>
  <c r="J13" i="6"/>
  <c r="K13" i="6" s="1"/>
  <c r="J12" i="6"/>
  <c r="J9" i="6"/>
  <c r="K9" i="6" s="1"/>
  <c r="J8" i="6"/>
  <c r="K8" i="6" s="1"/>
  <c r="J7" i="6"/>
  <c r="J144" i="1"/>
  <c r="J143" i="1"/>
  <c r="J142" i="1"/>
  <c r="J137" i="1"/>
  <c r="K137" i="1" s="1"/>
  <c r="J136" i="1"/>
  <c r="K136" i="1" s="1"/>
  <c r="J135" i="1"/>
  <c r="J130" i="1"/>
  <c r="K130" i="1" s="1"/>
  <c r="J129" i="1"/>
  <c r="J128" i="1"/>
  <c r="J123" i="1"/>
  <c r="K123" i="1" s="1"/>
  <c r="J122" i="1"/>
  <c r="K122" i="1" s="1"/>
  <c r="J121" i="1"/>
  <c r="K121" i="1" s="1"/>
  <c r="N17" i="1" s="1"/>
  <c r="J116" i="1"/>
  <c r="K116" i="1" s="1"/>
  <c r="J115" i="1"/>
  <c r="J114" i="1"/>
  <c r="K114" i="1" s="1"/>
  <c r="J109" i="1"/>
  <c r="K109" i="1" s="1"/>
  <c r="J108" i="1"/>
  <c r="J107" i="1"/>
  <c r="J100" i="1"/>
  <c r="K100" i="1" s="1"/>
  <c r="J99" i="1"/>
  <c r="K99" i="1" s="1"/>
  <c r="J98" i="1"/>
  <c r="K98" i="1" s="1"/>
  <c r="J95" i="1"/>
  <c r="J94" i="1"/>
  <c r="J93" i="1"/>
  <c r="J88" i="1"/>
  <c r="J87" i="1"/>
  <c r="J86" i="1"/>
  <c r="K86" i="1" s="1"/>
  <c r="J83" i="1"/>
  <c r="K83" i="1" s="1"/>
  <c r="J82" i="1"/>
  <c r="K82" i="1" s="1"/>
  <c r="O14" i="1" s="1"/>
  <c r="J81" i="1"/>
  <c r="J76" i="1"/>
  <c r="K76" i="1" s="1"/>
  <c r="J75" i="1"/>
  <c r="K75" i="1" s="1"/>
  <c r="J74" i="1"/>
  <c r="J71" i="1"/>
  <c r="K71" i="1" s="1"/>
  <c r="J70" i="1"/>
  <c r="J69" i="1"/>
  <c r="J64" i="1"/>
  <c r="J63" i="1"/>
  <c r="J62" i="1"/>
  <c r="J59" i="1"/>
  <c r="J58" i="1"/>
  <c r="J57" i="1"/>
  <c r="J52" i="1"/>
  <c r="K52" i="1" s="1"/>
  <c r="J51" i="1"/>
  <c r="K51" i="1" s="1"/>
  <c r="J50" i="1"/>
  <c r="K50" i="1" s="1"/>
  <c r="J47" i="1"/>
  <c r="J46" i="1"/>
  <c r="K46" i="1" s="1"/>
  <c r="J45" i="1"/>
  <c r="K45" i="1" s="1"/>
  <c r="J40" i="1"/>
  <c r="J39" i="1"/>
  <c r="K39" i="1" s="1"/>
  <c r="J38" i="1"/>
  <c r="J35" i="1"/>
  <c r="J34" i="1"/>
  <c r="J33" i="1"/>
  <c r="J28" i="1"/>
  <c r="J27" i="1"/>
  <c r="J26" i="1"/>
  <c r="J23" i="1"/>
  <c r="K23" i="1" s="1"/>
  <c r="J22" i="1"/>
  <c r="K22" i="1" s="1"/>
  <c r="J21" i="1"/>
  <c r="K21" i="1" s="1"/>
  <c r="J16" i="1"/>
  <c r="K16" i="1" s="1"/>
  <c r="J15" i="1"/>
  <c r="J14" i="1"/>
  <c r="K14" i="1" s="1"/>
  <c r="J11" i="1"/>
  <c r="K11" i="1" s="1"/>
  <c r="J10" i="1"/>
  <c r="J9" i="1"/>
  <c r="K9" i="1" s="1"/>
  <c r="J142" i="2"/>
  <c r="J141" i="2"/>
  <c r="J140" i="2"/>
  <c r="K140" i="2" s="1"/>
  <c r="J135" i="2"/>
  <c r="J134" i="2"/>
  <c r="K134" i="2" s="1"/>
  <c r="J133" i="2"/>
  <c r="K133" i="2" s="1"/>
  <c r="J128" i="2"/>
  <c r="K128" i="2" s="1"/>
  <c r="J127" i="2"/>
  <c r="K127" i="2" s="1"/>
  <c r="J126" i="2"/>
  <c r="J121" i="2"/>
  <c r="J120" i="2"/>
  <c r="K120" i="2" s="1"/>
  <c r="J119" i="2"/>
  <c r="K119" i="2" s="1"/>
  <c r="J114" i="2"/>
  <c r="K114" i="2" s="1"/>
  <c r="J113" i="2"/>
  <c r="K113" i="2" s="1"/>
  <c r="J112" i="2"/>
  <c r="K112" i="2" s="1"/>
  <c r="J107" i="2"/>
  <c r="K107" i="2" s="1"/>
  <c r="J106" i="2"/>
  <c r="J105" i="2"/>
  <c r="J98" i="2"/>
  <c r="K98" i="2" s="1"/>
  <c r="J97" i="2"/>
  <c r="K97" i="2" s="1"/>
  <c r="J96" i="2"/>
  <c r="K96" i="2" s="1"/>
  <c r="J93" i="2"/>
  <c r="K93" i="2" s="1"/>
  <c r="J92" i="2"/>
  <c r="K92" i="2" s="1"/>
  <c r="J91" i="2"/>
  <c r="K91" i="2" s="1"/>
  <c r="J86" i="2"/>
  <c r="J85" i="2"/>
  <c r="J84" i="2"/>
  <c r="J81" i="2"/>
  <c r="J80" i="2"/>
  <c r="K80" i="2" s="1"/>
  <c r="J79" i="2"/>
  <c r="K79" i="2" s="1"/>
  <c r="J74" i="2"/>
  <c r="K74" i="2" s="1"/>
  <c r="J73" i="2"/>
  <c r="K73" i="2" s="1"/>
  <c r="J72" i="2"/>
  <c r="J69" i="2"/>
  <c r="J68" i="2"/>
  <c r="J67" i="2"/>
  <c r="J62" i="2"/>
  <c r="K62" i="2" s="1"/>
  <c r="J61" i="2"/>
  <c r="K61" i="2" s="1"/>
  <c r="J60" i="2"/>
  <c r="K60" i="2" s="1"/>
  <c r="J57" i="2"/>
  <c r="K57" i="2" s="1"/>
  <c r="J56" i="2"/>
  <c r="J55" i="2"/>
  <c r="J50" i="2"/>
  <c r="J49" i="2"/>
  <c r="J48" i="2"/>
  <c r="J45" i="2"/>
  <c r="K45" i="2" s="1"/>
  <c r="J44" i="2"/>
  <c r="K44" i="2" s="1"/>
  <c r="J43" i="2"/>
  <c r="K43" i="2" s="1"/>
  <c r="J38" i="2"/>
  <c r="J37" i="2"/>
  <c r="J36" i="2"/>
  <c r="J33" i="2"/>
  <c r="J32" i="2"/>
  <c r="J31" i="2"/>
  <c r="K31" i="2" s="1"/>
  <c r="J26" i="2"/>
  <c r="K26" i="2" s="1"/>
  <c r="J25" i="2"/>
  <c r="K25" i="2" s="1"/>
  <c r="J24" i="2"/>
  <c r="J21" i="2"/>
  <c r="J20" i="2"/>
  <c r="J19" i="2"/>
  <c r="J14" i="2"/>
  <c r="J13" i="2"/>
  <c r="K13" i="2" s="1"/>
  <c r="J12" i="2"/>
  <c r="K12" i="2" s="1"/>
  <c r="J9" i="2"/>
  <c r="K9" i="2" s="1"/>
  <c r="J8" i="2"/>
  <c r="J7" i="2"/>
  <c r="J130" i="5"/>
  <c r="J129" i="5"/>
  <c r="K129" i="5" s="1"/>
  <c r="J128" i="5"/>
  <c r="J123" i="5"/>
  <c r="J122" i="5"/>
  <c r="J121" i="5"/>
  <c r="K121" i="5" s="1"/>
  <c r="J116" i="5"/>
  <c r="K116" i="5" s="1"/>
  <c r="J115" i="5"/>
  <c r="K115" i="5" s="1"/>
  <c r="J114" i="5"/>
  <c r="J109" i="5"/>
  <c r="J108" i="5"/>
  <c r="J107" i="5"/>
  <c r="K107" i="5" s="1"/>
  <c r="J100" i="5"/>
  <c r="K100" i="5" s="1"/>
  <c r="J99" i="5"/>
  <c r="K99" i="5" s="1"/>
  <c r="J98" i="5"/>
  <c r="J95" i="5"/>
  <c r="J94" i="5"/>
  <c r="K94" i="5" s="1"/>
  <c r="J93" i="5"/>
  <c r="K93" i="5" s="1"/>
  <c r="K83" i="5"/>
  <c r="J82" i="5"/>
  <c r="K82" i="5" s="1"/>
  <c r="J81" i="5"/>
  <c r="K81" i="5" s="1"/>
  <c r="J71" i="5"/>
  <c r="K71" i="5" s="1"/>
  <c r="J70" i="5"/>
  <c r="K70" i="5" s="1"/>
  <c r="J69" i="5"/>
  <c r="J59" i="5"/>
  <c r="K59" i="5" s="1"/>
  <c r="J58" i="5"/>
  <c r="J57" i="5"/>
  <c r="J47" i="5"/>
  <c r="K47" i="5" s="1"/>
  <c r="J46" i="5"/>
  <c r="J45" i="5"/>
  <c r="K45" i="5" s="1"/>
  <c r="J35" i="5"/>
  <c r="K35" i="5" s="1"/>
  <c r="J34" i="5"/>
  <c r="K34" i="5" s="1"/>
  <c r="J33" i="5"/>
  <c r="K33" i="5" s="1"/>
  <c r="J23" i="5"/>
  <c r="K23" i="5" s="1"/>
  <c r="J22" i="5"/>
  <c r="K22" i="5" s="1"/>
  <c r="J21" i="5"/>
  <c r="J10" i="5"/>
  <c r="K10" i="5" s="1"/>
  <c r="J11" i="5"/>
  <c r="K11" i="5" s="1"/>
  <c r="K126" i="6"/>
  <c r="K121" i="6"/>
  <c r="K120" i="6"/>
  <c r="K119" i="6"/>
  <c r="K106" i="6"/>
  <c r="K72" i="6"/>
  <c r="K69" i="6"/>
  <c r="K68" i="6"/>
  <c r="K38" i="6"/>
  <c r="K36" i="6"/>
  <c r="K130" i="5"/>
  <c r="K128" i="5"/>
  <c r="K123" i="5"/>
  <c r="K95" i="5"/>
  <c r="K9" i="5"/>
  <c r="K142" i="2"/>
  <c r="K141" i="2"/>
  <c r="K135" i="2"/>
  <c r="K126" i="2"/>
  <c r="K121" i="2"/>
  <c r="K106" i="2"/>
  <c r="K105" i="2"/>
  <c r="N17" i="2" s="1"/>
  <c r="K86" i="2"/>
  <c r="K85" i="2"/>
  <c r="K84" i="2"/>
  <c r="K81" i="2"/>
  <c r="K72" i="2"/>
  <c r="K69" i="2"/>
  <c r="K68" i="2"/>
  <c r="K67" i="2"/>
  <c r="N14" i="2" s="1"/>
  <c r="K56" i="2"/>
  <c r="K55" i="2"/>
  <c r="K50" i="2"/>
  <c r="K49" i="2"/>
  <c r="K48" i="2"/>
  <c r="K38" i="2"/>
  <c r="K37" i="2"/>
  <c r="K36" i="2"/>
  <c r="K33" i="2"/>
  <c r="K32" i="2"/>
  <c r="K24" i="2"/>
  <c r="K21" i="2"/>
  <c r="K20" i="2"/>
  <c r="K19" i="2"/>
  <c r="N10" i="2" s="1"/>
  <c r="K14" i="2"/>
  <c r="K8" i="2"/>
  <c r="K7" i="2"/>
  <c r="N9" i="2" s="1"/>
  <c r="K144" i="1"/>
  <c r="K143" i="1"/>
  <c r="K142" i="1"/>
  <c r="K135" i="1"/>
  <c r="K129" i="1"/>
  <c r="K128" i="1"/>
  <c r="K115" i="1"/>
  <c r="K108" i="1"/>
  <c r="K107" i="1"/>
  <c r="O16" i="1" s="1"/>
  <c r="K95" i="1"/>
  <c r="K94" i="1"/>
  <c r="K93" i="1"/>
  <c r="K88" i="1"/>
  <c r="K87" i="1"/>
  <c r="K81" i="1"/>
  <c r="K74" i="1"/>
  <c r="K70" i="1"/>
  <c r="K69" i="1"/>
  <c r="N13" i="1" s="1"/>
  <c r="K64" i="1"/>
  <c r="K63" i="1"/>
  <c r="K62" i="1"/>
  <c r="K59" i="1"/>
  <c r="K58" i="1"/>
  <c r="K57" i="1"/>
  <c r="N12" i="1" s="1"/>
  <c r="K47" i="1"/>
  <c r="K40" i="1"/>
  <c r="K38" i="1"/>
  <c r="K35" i="1"/>
  <c r="K34" i="1"/>
  <c r="K33" i="1"/>
  <c r="N10" i="1" s="1"/>
  <c r="K28" i="1"/>
  <c r="K27" i="1"/>
  <c r="K26" i="1"/>
  <c r="K15" i="1"/>
  <c r="K10" i="1"/>
  <c r="N14" i="4" l="1"/>
  <c r="K73" i="6"/>
  <c r="R14" i="6"/>
  <c r="S14" i="6"/>
  <c r="K12" i="6"/>
  <c r="R9" i="6"/>
  <c r="S9" i="6"/>
  <c r="K113" i="6"/>
  <c r="N17" i="6" s="1"/>
  <c r="R17" i="6"/>
  <c r="S17" i="6"/>
  <c r="K61" i="6"/>
  <c r="O13" i="6" s="1"/>
  <c r="R13" i="6"/>
  <c r="S13" i="6"/>
  <c r="K49" i="6"/>
  <c r="O12" i="6" s="1"/>
  <c r="R12" i="6"/>
  <c r="S12" i="6"/>
  <c r="K85" i="6"/>
  <c r="N15" i="6" s="1"/>
  <c r="S15" i="6"/>
  <c r="R15" i="6"/>
  <c r="K24" i="6"/>
  <c r="R10" i="6"/>
  <c r="S10" i="6"/>
  <c r="K97" i="6"/>
  <c r="R16" i="6"/>
  <c r="S16" i="6"/>
  <c r="K37" i="6"/>
  <c r="N11" i="6" s="1"/>
  <c r="R11" i="6"/>
  <c r="S11" i="6"/>
  <c r="K127" i="6"/>
  <c r="N18" i="6" s="1"/>
  <c r="S18" i="6"/>
  <c r="R18" i="6"/>
  <c r="R18" i="5"/>
  <c r="S18" i="5"/>
  <c r="K98" i="5"/>
  <c r="O16" i="5" s="1"/>
  <c r="S16" i="5"/>
  <c r="R16" i="5"/>
  <c r="K114" i="5"/>
  <c r="O17" i="5" s="1"/>
  <c r="R17" i="5"/>
  <c r="S17" i="5"/>
  <c r="N10" i="6"/>
  <c r="O10" i="6"/>
  <c r="N16" i="6"/>
  <c r="O16" i="6"/>
  <c r="N14" i="6"/>
  <c r="O14" i="6"/>
  <c r="N9" i="6"/>
  <c r="O9" i="6"/>
  <c r="O17" i="6"/>
  <c r="N18" i="5"/>
  <c r="O18" i="5"/>
  <c r="K58" i="5"/>
  <c r="K69" i="5"/>
  <c r="K108" i="5"/>
  <c r="K109" i="5"/>
  <c r="K122" i="5"/>
  <c r="K21" i="5"/>
  <c r="K46" i="5"/>
  <c r="K57" i="5"/>
  <c r="K79" i="6"/>
  <c r="K19" i="6"/>
  <c r="K31" i="6"/>
  <c r="K67" i="6"/>
  <c r="K91" i="6"/>
  <c r="K7" i="6"/>
  <c r="K105" i="6"/>
  <c r="N8" i="1"/>
  <c r="O8" i="1"/>
  <c r="N11" i="1"/>
  <c r="O11" i="1"/>
  <c r="N9" i="1"/>
  <c r="O9" i="1"/>
  <c r="N15" i="1"/>
  <c r="O10" i="1"/>
  <c r="O12" i="1"/>
  <c r="O13" i="1"/>
  <c r="O15" i="1"/>
  <c r="N14" i="1"/>
  <c r="O17" i="1"/>
  <c r="N18" i="1"/>
  <c r="O18" i="1"/>
  <c r="N16" i="1"/>
  <c r="N15" i="2"/>
  <c r="O15" i="2"/>
  <c r="O13" i="2"/>
  <c r="N16" i="2"/>
  <c r="O16" i="2"/>
  <c r="N11" i="2"/>
  <c r="O11" i="2"/>
  <c r="N19" i="2"/>
  <c r="O19" i="2"/>
  <c r="O12" i="2"/>
  <c r="N12" i="2"/>
  <c r="O9" i="2"/>
  <c r="O10" i="2"/>
  <c r="N18" i="2"/>
  <c r="O14" i="2"/>
  <c r="N13" i="2"/>
  <c r="O17" i="2"/>
  <c r="O18" i="2"/>
  <c r="K88" i="5"/>
  <c r="K87" i="5"/>
  <c r="K86" i="5"/>
  <c r="K76" i="5"/>
  <c r="K75" i="5"/>
  <c r="K74" i="5"/>
  <c r="K64" i="5"/>
  <c r="K63" i="5"/>
  <c r="K62" i="5"/>
  <c r="K52" i="5"/>
  <c r="K51" i="5"/>
  <c r="K50" i="5"/>
  <c r="K40" i="5"/>
  <c r="K39" i="5"/>
  <c r="K38" i="5"/>
  <c r="K28" i="5"/>
  <c r="K27" i="5"/>
  <c r="K26" i="5"/>
  <c r="K16" i="5"/>
  <c r="K15" i="5"/>
  <c r="K14" i="5"/>
  <c r="N17" i="5" l="1"/>
  <c r="O15" i="6"/>
  <c r="N12" i="6"/>
  <c r="O18" i="6"/>
  <c r="N13" i="6"/>
  <c r="O11" i="6"/>
  <c r="N16" i="5"/>
  <c r="O9" i="5"/>
  <c r="O10" i="5"/>
  <c r="O11" i="5"/>
  <c r="O12" i="5"/>
  <c r="O13" i="5"/>
  <c r="N14" i="5"/>
  <c r="O14" i="5"/>
  <c r="N15" i="5"/>
  <c r="O15" i="5"/>
</calcChain>
</file>

<file path=xl/sharedStrings.xml><?xml version="1.0" encoding="utf-8"?>
<sst xmlns="http://schemas.openxmlformats.org/spreadsheetml/2006/main" count="1537" uniqueCount="23">
  <si>
    <t>PlateName</t>
  </si>
  <si>
    <t>Row</t>
  </si>
  <si>
    <t xml:space="preserve">Column </t>
  </si>
  <si>
    <t xml:space="preserve"> Injection Time (sec)</t>
  </si>
  <si>
    <t>Plate2</t>
  </si>
  <si>
    <t>EM/MM0</t>
  </si>
  <si>
    <t>EM</t>
  </si>
  <si>
    <t>MM0</t>
  </si>
  <si>
    <t>Sequence 5</t>
  </si>
  <si>
    <t>Timepoint</t>
  </si>
  <si>
    <t>Sequence 2</t>
  </si>
  <si>
    <t>Plate1</t>
  </si>
  <si>
    <t>Sequence 3</t>
  </si>
  <si>
    <t>Turnover</t>
  </si>
  <si>
    <t>mg enzyme</t>
  </si>
  <si>
    <t>uM substrate</t>
  </si>
  <si>
    <t>Fraction</t>
  </si>
  <si>
    <t>Enzyme+Substrate</t>
  </si>
  <si>
    <t>Time</t>
  </si>
  <si>
    <t>STDEV</t>
  </si>
  <si>
    <t>% Oxidation</t>
  </si>
  <si>
    <t>Sequence 4</t>
  </si>
  <si>
    <t>uM_substrate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</si>
</sst>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1" fillId="0" borderId="1" xfId="0" applyNumberFormat="1" applyFont="1" applyBorder="1"/>
    <xf numFmtId="11" fontId="0" fillId="0" borderId="0" xfId="0" applyNumberForma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10" fontId="0" fillId="0" borderId="0" xfId="0" applyNumberForma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opLeftCell="J1" workbookViewId="0">
      <selection activeCell="R8" sqref="R8:S18"/>
    </sheetView>
  </sheetViews>
  <sheetFormatPr defaultRowHeight="14.4" x14ac:dyDescent="0.3"/>
  <cols>
    <col min="10" max="10" width="8.88671875" style="6"/>
    <col min="14" max="14" width="9.33203125" bestFit="1" customWidth="1"/>
  </cols>
  <sheetData>
    <row r="1" spans="1:19" x14ac:dyDescent="0.3">
      <c r="A1" t="s">
        <v>10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1">
        <v>2.6208062999999999E-3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7.28</v>
      </c>
      <c r="M3" t="s">
        <v>15</v>
      </c>
      <c r="N3" s="2">
        <v>8.9999999999999993E-3</v>
      </c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21.43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35.869999999999997</v>
      </c>
    </row>
    <row r="6" spans="1:19" ht="15.6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50.05</v>
      </c>
      <c r="M6" s="3"/>
      <c r="N6" s="4" t="s">
        <v>17</v>
      </c>
      <c r="O6" s="3"/>
      <c r="Q6" s="3"/>
      <c r="R6" s="4" t="s">
        <v>17</v>
      </c>
      <c r="S6" s="3"/>
    </row>
    <row r="7" spans="1:19" ht="15.6" x14ac:dyDescent="0.3">
      <c r="A7" t="s">
        <v>11</v>
      </c>
      <c r="B7">
        <v>2001</v>
      </c>
      <c r="C7">
        <v>2</v>
      </c>
      <c r="D7">
        <v>0</v>
      </c>
      <c r="E7">
        <v>0</v>
      </c>
      <c r="F7">
        <v>64.34</v>
      </c>
      <c r="M7" s="4" t="s">
        <v>18</v>
      </c>
      <c r="N7" s="4" t="s">
        <v>13</v>
      </c>
      <c r="O7" s="3" t="s">
        <v>19</v>
      </c>
      <c r="Q7" s="4" t="s">
        <v>18</v>
      </c>
      <c r="R7" s="4" t="s">
        <v>20</v>
      </c>
      <c r="S7" s="3" t="s">
        <v>19</v>
      </c>
    </row>
    <row r="8" spans="1:19" ht="15.6" x14ac:dyDescent="0.3">
      <c r="A8" t="s">
        <v>11</v>
      </c>
      <c r="B8">
        <v>2001</v>
      </c>
      <c r="C8">
        <v>3</v>
      </c>
      <c r="D8">
        <v>0</v>
      </c>
      <c r="E8">
        <v>0</v>
      </c>
      <c r="F8">
        <v>78.53</v>
      </c>
      <c r="M8" s="3">
        <v>0</v>
      </c>
      <c r="N8" s="5">
        <f>AVERAGE(K9:K11)</f>
        <v>0</v>
      </c>
      <c r="O8" s="3">
        <f>STDEV(K9:K11)</f>
        <v>0</v>
      </c>
      <c r="Q8" s="3">
        <v>0</v>
      </c>
      <c r="R8" s="7">
        <f>AVERAGE(J8:J10)</f>
        <v>0</v>
      </c>
      <c r="S8" s="3">
        <f>STDEV(J9:J11)</f>
        <v>0</v>
      </c>
    </row>
    <row r="9" spans="1:19" ht="15.6" x14ac:dyDescent="0.3">
      <c r="A9" t="s">
        <v>11</v>
      </c>
      <c r="B9">
        <v>16</v>
      </c>
      <c r="C9">
        <v>1</v>
      </c>
      <c r="D9">
        <v>14193985.310546899</v>
      </c>
      <c r="E9">
        <v>0</v>
      </c>
      <c r="F9">
        <v>93.46</v>
      </c>
      <c r="G9" t="s">
        <v>6</v>
      </c>
      <c r="H9">
        <v>0</v>
      </c>
      <c r="I9">
        <f t="shared" ref="I9:J11" si="0">D9/(C9+D9)</f>
        <v>0.99999992954762829</v>
      </c>
      <c r="J9" s="6">
        <f t="shared" si="0"/>
        <v>0</v>
      </c>
      <c r="K9" s="2">
        <f>(J9*$N$3)/$N$2</f>
        <v>0</v>
      </c>
      <c r="M9" s="3">
        <v>0.5</v>
      </c>
      <c r="N9" s="5">
        <f>AVERAGE(K21:K23)</f>
        <v>0</v>
      </c>
      <c r="O9" s="3">
        <f>STDEV(K21:K23)</f>
        <v>0</v>
      </c>
      <c r="Q9" s="3">
        <v>0.5</v>
      </c>
      <c r="R9" s="7">
        <f>AVERAGE(J20:J22)</f>
        <v>0</v>
      </c>
      <c r="S9" s="3">
        <f>STDEV(J21:J23)</f>
        <v>0</v>
      </c>
    </row>
    <row r="10" spans="1:19" ht="15.6" x14ac:dyDescent="0.3">
      <c r="A10" t="s">
        <v>11</v>
      </c>
      <c r="B10">
        <v>16</v>
      </c>
      <c r="C10">
        <v>3</v>
      </c>
      <c r="D10">
        <v>14463137.982910199</v>
      </c>
      <c r="E10">
        <v>0</v>
      </c>
      <c r="F10">
        <v>108.32</v>
      </c>
      <c r="G10" t="s">
        <v>6</v>
      </c>
      <c r="H10">
        <v>0</v>
      </c>
      <c r="I10">
        <f t="shared" si="0"/>
        <v>0.99999979257617666</v>
      </c>
      <c r="J10" s="6">
        <f t="shared" si="0"/>
        <v>0</v>
      </c>
      <c r="K10" s="2">
        <f>(J10*$N$3)/$N$2</f>
        <v>0</v>
      </c>
      <c r="M10" s="3">
        <v>1</v>
      </c>
      <c r="N10" s="5">
        <f>AVERAGE(K33:K35)</f>
        <v>0</v>
      </c>
      <c r="O10" s="3">
        <f>STDEV(K33:K35)</f>
        <v>0</v>
      </c>
      <c r="Q10" s="3">
        <v>1</v>
      </c>
      <c r="R10" s="7">
        <f>AVERAGE(J32:J34)</f>
        <v>0</v>
      </c>
      <c r="S10" s="3">
        <f>STDEV(J33:J35)</f>
        <v>0</v>
      </c>
    </row>
    <row r="11" spans="1:19" ht="15.6" x14ac:dyDescent="0.3">
      <c r="A11" t="s">
        <v>11</v>
      </c>
      <c r="B11">
        <v>16</v>
      </c>
      <c r="C11">
        <v>5</v>
      </c>
      <c r="D11">
        <v>14518197.379882799</v>
      </c>
      <c r="E11">
        <v>0</v>
      </c>
      <c r="F11">
        <v>123.28</v>
      </c>
      <c r="G11" t="s">
        <v>6</v>
      </c>
      <c r="H11">
        <v>0</v>
      </c>
      <c r="I11">
        <f t="shared" si="0"/>
        <v>0.9999996556047458</v>
      </c>
      <c r="J11" s="6">
        <f t="shared" si="0"/>
        <v>0</v>
      </c>
      <c r="K11" s="2">
        <f>(J11*$N$3)/$N$2</f>
        <v>0</v>
      </c>
      <c r="M11" s="3">
        <v>1.5</v>
      </c>
      <c r="N11" s="5">
        <f>AVERAGE(K45:K47)</f>
        <v>0</v>
      </c>
      <c r="O11" s="3">
        <f>STDEV(K45:K47)</f>
        <v>0</v>
      </c>
      <c r="Q11" s="3">
        <v>1.5</v>
      </c>
      <c r="R11" s="7">
        <f>AVERAGE(J45:J47)</f>
        <v>0</v>
      </c>
      <c r="S11" s="3">
        <f>STDEV(J45:J47)</f>
        <v>0</v>
      </c>
    </row>
    <row r="12" spans="1:19" ht="15.6" x14ac:dyDescent="0.3">
      <c r="A12" t="s">
        <v>11</v>
      </c>
      <c r="B12">
        <v>2001</v>
      </c>
      <c r="C12">
        <v>2</v>
      </c>
      <c r="D12">
        <v>5316.4111328125</v>
      </c>
      <c r="E12">
        <v>0</v>
      </c>
      <c r="F12">
        <v>137.69999999999999</v>
      </c>
      <c r="M12" s="3">
        <v>3</v>
      </c>
      <c r="N12" s="5">
        <f>AVERAGE(K57:K59)</f>
        <v>0</v>
      </c>
      <c r="O12" s="3">
        <f>STDEV(K57:K59)</f>
        <v>0</v>
      </c>
      <c r="Q12" s="3">
        <v>3</v>
      </c>
      <c r="R12" s="7">
        <f>AVERAGE(J56:J58)</f>
        <v>0</v>
      </c>
      <c r="S12" s="3">
        <f>STDEV(J57:J59)</f>
        <v>0</v>
      </c>
    </row>
    <row r="13" spans="1:19" ht="15.6" x14ac:dyDescent="0.3">
      <c r="A13" t="s">
        <v>11</v>
      </c>
      <c r="B13">
        <v>2001</v>
      </c>
      <c r="C13">
        <v>3</v>
      </c>
      <c r="D13">
        <v>0</v>
      </c>
      <c r="E13">
        <v>0</v>
      </c>
      <c r="F13">
        <v>151.88999999999999</v>
      </c>
      <c r="M13" s="3">
        <v>5</v>
      </c>
      <c r="N13" s="5">
        <f>AVERAGE(K69:K71)</f>
        <v>0</v>
      </c>
      <c r="O13" s="3">
        <f>STDEV(K69:K71)</f>
        <v>0</v>
      </c>
      <c r="Q13" s="3">
        <v>5</v>
      </c>
      <c r="R13" s="7">
        <f>AVERAGE(J68:J70)</f>
        <v>0</v>
      </c>
      <c r="S13" s="3">
        <f>STDEV(J69:J71)</f>
        <v>0</v>
      </c>
    </row>
    <row r="14" spans="1:19" ht="15.6" x14ac:dyDescent="0.3">
      <c r="A14" t="s">
        <v>11</v>
      </c>
      <c r="B14">
        <v>16</v>
      </c>
      <c r="C14">
        <v>7</v>
      </c>
      <c r="D14">
        <v>18200829.808105499</v>
      </c>
      <c r="E14">
        <v>0</v>
      </c>
      <c r="F14">
        <v>166.75</v>
      </c>
      <c r="G14" t="s">
        <v>7</v>
      </c>
      <c r="H14">
        <v>0</v>
      </c>
      <c r="I14">
        <f t="shared" ref="I14:J16" si="1">D14/(C14+D14)</f>
        <v>0.99999961540229865</v>
      </c>
      <c r="J14" s="6">
        <f t="shared" si="1"/>
        <v>0</v>
      </c>
      <c r="K14" s="2">
        <f>(J14*$N$3)/$N$2</f>
        <v>0</v>
      </c>
      <c r="M14" s="3">
        <v>10</v>
      </c>
      <c r="N14" s="5">
        <f>AVERAGE(K81:K83)</f>
        <v>0</v>
      </c>
      <c r="O14" s="3">
        <f>STDEV(K81:K83)</f>
        <v>0</v>
      </c>
      <c r="Q14" s="3">
        <v>10</v>
      </c>
      <c r="R14" s="7">
        <f>AVERAGE(J80:J82)</f>
        <v>0</v>
      </c>
      <c r="S14" s="3">
        <f>STDEV(J81:J83)</f>
        <v>0</v>
      </c>
    </row>
    <row r="15" spans="1:19" ht="15.6" x14ac:dyDescent="0.3">
      <c r="A15" t="s">
        <v>11</v>
      </c>
      <c r="B15">
        <v>16</v>
      </c>
      <c r="C15">
        <v>9</v>
      </c>
      <c r="D15">
        <v>16146250.0737305</v>
      </c>
      <c r="E15">
        <v>0</v>
      </c>
      <c r="F15">
        <v>181.72</v>
      </c>
      <c r="G15" t="s">
        <v>7</v>
      </c>
      <c r="H15">
        <v>0</v>
      </c>
      <c r="I15">
        <f t="shared" si="1"/>
        <v>0.99999944259534301</v>
      </c>
      <c r="J15" s="6">
        <f t="shared" si="1"/>
        <v>0</v>
      </c>
      <c r="K15" s="2">
        <f>(J15*$N$3)/$N$2</f>
        <v>0</v>
      </c>
      <c r="M15" s="3">
        <v>20</v>
      </c>
      <c r="N15" s="5">
        <f>AVERAGE(K93:K95)</f>
        <v>1.2797819099254632E-2</v>
      </c>
      <c r="O15" s="3">
        <f>STDEV(K93:K95)</f>
        <v>1.168344294615261E-3</v>
      </c>
      <c r="Q15" s="3">
        <v>20</v>
      </c>
      <c r="R15" s="7">
        <f>AVERAGE(J93:J95)</f>
        <v>3.7267338801763189E-3</v>
      </c>
      <c r="S15" s="3">
        <f>STDEV(J93:J95)</f>
        <v>3.4022267643297034E-4</v>
      </c>
    </row>
    <row r="16" spans="1:19" ht="15.6" x14ac:dyDescent="0.3">
      <c r="A16" t="s">
        <v>11</v>
      </c>
      <c r="B16">
        <v>16</v>
      </c>
      <c r="C16">
        <v>11</v>
      </c>
      <c r="D16">
        <v>17024967.28125</v>
      </c>
      <c r="E16">
        <v>0</v>
      </c>
      <c r="F16">
        <v>196.55</v>
      </c>
      <c r="G16" t="s">
        <v>7</v>
      </c>
      <c r="H16">
        <v>0</v>
      </c>
      <c r="I16">
        <f t="shared" si="1"/>
        <v>0.99999935389051198</v>
      </c>
      <c r="J16" s="6">
        <f t="shared" si="1"/>
        <v>0</v>
      </c>
      <c r="K16" s="2">
        <f>(J16*$N$3)/$N$2</f>
        <v>0</v>
      </c>
      <c r="M16" s="3">
        <v>40</v>
      </c>
      <c r="N16" s="5" t="e">
        <f>AVERAGE(K107:K109)</f>
        <v>#DIV/0!</v>
      </c>
      <c r="O16" t="e">
        <f>STDEV(K107:K109)</f>
        <v>#DIV/0!</v>
      </c>
      <c r="Q16" s="3">
        <v>40</v>
      </c>
      <c r="R16" s="7" t="e">
        <f>AVERAGE(J107:J109)</f>
        <v>#DIV/0!</v>
      </c>
      <c r="S16" t="e">
        <f>STDEV(J107:J109)</f>
        <v>#DIV/0!</v>
      </c>
    </row>
    <row r="17" spans="1:19" ht="15.6" x14ac:dyDescent="0.3">
      <c r="A17" t="s">
        <v>11</v>
      </c>
      <c r="B17">
        <v>2001</v>
      </c>
      <c r="C17">
        <v>2</v>
      </c>
      <c r="D17">
        <v>11624.037109375</v>
      </c>
      <c r="E17">
        <v>0</v>
      </c>
      <c r="F17">
        <v>211.01</v>
      </c>
      <c r="M17" s="3">
        <v>60</v>
      </c>
      <c r="N17" s="5">
        <f>AVERAGE(K121:K123)</f>
        <v>5.4520883881445263E-2</v>
      </c>
      <c r="O17">
        <f>STDEV(K121:K123)</f>
        <v>1.4589053941933664E-2</v>
      </c>
      <c r="Q17" s="3">
        <v>60</v>
      </c>
      <c r="R17" s="7">
        <f>AVERAGE(J121:J123)</f>
        <v>1.5876519550895581E-2</v>
      </c>
      <c r="S17">
        <f>STDEV(J121:J123)</f>
        <v>4.2483427202288449E-3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225.3</v>
      </c>
      <c r="M18" s="3">
        <v>300</v>
      </c>
      <c r="N18" s="5" t="e">
        <f>AVERAGE(K135:K137)</f>
        <v>#DIV/0!</v>
      </c>
      <c r="O18" t="e">
        <f>STDEV(K135:K137)</f>
        <v>#DIV/0!</v>
      </c>
      <c r="Q18" s="3">
        <v>300</v>
      </c>
      <c r="R18" s="7" t="e">
        <f>AVERAGE(J135:J137)</f>
        <v>#DIV/0!</v>
      </c>
      <c r="S18" t="e">
        <f>STDEV(J135:J137)</f>
        <v>#DIV/0!</v>
      </c>
    </row>
    <row r="19" spans="1:19" x14ac:dyDescent="0.3">
      <c r="A19" t="s">
        <v>11</v>
      </c>
      <c r="B19">
        <v>2001</v>
      </c>
      <c r="C19">
        <v>2</v>
      </c>
      <c r="D19">
        <v>0</v>
      </c>
      <c r="E19">
        <v>0</v>
      </c>
      <c r="F19">
        <v>239.61</v>
      </c>
    </row>
    <row r="20" spans="1:19" x14ac:dyDescent="0.3">
      <c r="A20" t="s">
        <v>11</v>
      </c>
      <c r="B20">
        <v>2001</v>
      </c>
      <c r="C20">
        <v>3</v>
      </c>
      <c r="D20">
        <v>0</v>
      </c>
      <c r="E20">
        <v>0</v>
      </c>
      <c r="F20">
        <v>253.76</v>
      </c>
    </row>
    <row r="21" spans="1:19" x14ac:dyDescent="0.3">
      <c r="A21" t="s">
        <v>11</v>
      </c>
      <c r="B21">
        <v>15</v>
      </c>
      <c r="C21">
        <v>1</v>
      </c>
      <c r="D21">
        <v>10367644.576171899</v>
      </c>
      <c r="E21">
        <v>0</v>
      </c>
      <c r="F21">
        <v>268.73</v>
      </c>
      <c r="G21" t="s">
        <v>6</v>
      </c>
      <c r="H21">
        <v>0.5</v>
      </c>
      <c r="I21">
        <f t="shared" ref="I21:J23" si="2">D21/(C21+D21)</f>
        <v>0.99999990354608548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11</v>
      </c>
      <c r="B22">
        <v>15</v>
      </c>
      <c r="C22">
        <v>3</v>
      </c>
      <c r="D22">
        <v>8287230.37109375</v>
      </c>
      <c r="E22">
        <v>0</v>
      </c>
      <c r="F22">
        <v>283.61</v>
      </c>
      <c r="G22" t="s">
        <v>6</v>
      </c>
      <c r="H22">
        <v>0.5</v>
      </c>
      <c r="I22">
        <f t="shared" si="2"/>
        <v>0.99999963799740332</v>
      </c>
      <c r="J22" s="6">
        <f t="shared" si="2"/>
        <v>0</v>
      </c>
      <c r="K22" s="2">
        <f>(J22*$N$3)/$N$2</f>
        <v>0</v>
      </c>
    </row>
    <row r="23" spans="1:19" x14ac:dyDescent="0.3">
      <c r="A23" t="s">
        <v>11</v>
      </c>
      <c r="B23">
        <v>15</v>
      </c>
      <c r="C23">
        <v>5</v>
      </c>
      <c r="D23">
        <v>8993250.2802734394</v>
      </c>
      <c r="E23">
        <v>0</v>
      </c>
      <c r="F23">
        <v>298.56</v>
      </c>
      <c r="G23" t="s">
        <v>6</v>
      </c>
      <c r="H23">
        <v>0.5</v>
      </c>
      <c r="I23">
        <f t="shared" si="2"/>
        <v>0.99999944402779151</v>
      </c>
      <c r="J23" s="6">
        <f t="shared" si="2"/>
        <v>0</v>
      </c>
      <c r="K23" s="2">
        <f>(J23*$N$3)/$N$2</f>
        <v>0</v>
      </c>
    </row>
    <row r="24" spans="1:19" x14ac:dyDescent="0.3">
      <c r="A24" t="s">
        <v>11</v>
      </c>
      <c r="B24">
        <v>2001</v>
      </c>
      <c r="C24">
        <v>2</v>
      </c>
      <c r="D24">
        <v>0</v>
      </c>
      <c r="E24">
        <v>0</v>
      </c>
      <c r="F24">
        <v>313.02999999999997</v>
      </c>
    </row>
    <row r="25" spans="1:19" x14ac:dyDescent="0.3">
      <c r="A25" t="s">
        <v>11</v>
      </c>
      <c r="B25">
        <v>2001</v>
      </c>
      <c r="C25">
        <v>3</v>
      </c>
      <c r="D25">
        <v>0</v>
      </c>
      <c r="E25">
        <v>0</v>
      </c>
      <c r="F25">
        <v>327.22000000000003</v>
      </c>
    </row>
    <row r="26" spans="1:19" x14ac:dyDescent="0.3">
      <c r="A26" t="s">
        <v>11</v>
      </c>
      <c r="B26">
        <v>15</v>
      </c>
      <c r="C26">
        <v>7</v>
      </c>
      <c r="D26">
        <v>13324440.4179688</v>
      </c>
      <c r="E26">
        <v>0</v>
      </c>
      <c r="F26">
        <v>342.04</v>
      </c>
      <c r="G26" t="s">
        <v>7</v>
      </c>
      <c r="H26">
        <v>0.5</v>
      </c>
      <c r="I26">
        <f t="shared" ref="I26:J28" si="3">D26/(C26+D26)</f>
        <v>0.9999994746498837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11</v>
      </c>
      <c r="B27">
        <v>15</v>
      </c>
      <c r="C27">
        <v>9</v>
      </c>
      <c r="D27">
        <v>12310514.111328101</v>
      </c>
      <c r="E27">
        <v>0</v>
      </c>
      <c r="F27">
        <v>357.02</v>
      </c>
      <c r="G27" t="s">
        <v>7</v>
      </c>
      <c r="H27">
        <v>0.5</v>
      </c>
      <c r="I27">
        <f t="shared" si="3"/>
        <v>0.99999926891815083</v>
      </c>
      <c r="J27" s="6">
        <f t="shared" si="3"/>
        <v>0</v>
      </c>
      <c r="K27" s="2">
        <f>(J27*$N$3)/$N$2</f>
        <v>0</v>
      </c>
    </row>
    <row r="28" spans="1:19" x14ac:dyDescent="0.3">
      <c r="A28" t="s">
        <v>11</v>
      </c>
      <c r="B28">
        <v>15</v>
      </c>
      <c r="C28">
        <v>11</v>
      </c>
      <c r="D28">
        <v>13076423.6337891</v>
      </c>
      <c r="E28">
        <v>0</v>
      </c>
      <c r="F28">
        <v>371.84</v>
      </c>
      <c r="G28" t="s">
        <v>7</v>
      </c>
      <c r="H28">
        <v>0.5</v>
      </c>
      <c r="I28">
        <f t="shared" si="3"/>
        <v>0.99999915879210899</v>
      </c>
      <c r="J28" s="6">
        <f t="shared" si="3"/>
        <v>0</v>
      </c>
      <c r="K28" s="2">
        <f>(J28*$N$3)/$N$2</f>
        <v>0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386.27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400.44</v>
      </c>
    </row>
    <row r="31" spans="1:19" x14ac:dyDescent="0.3">
      <c r="A31" t="s">
        <v>11</v>
      </c>
      <c r="B31">
        <v>2001</v>
      </c>
      <c r="C31">
        <v>2</v>
      </c>
      <c r="D31">
        <v>0</v>
      </c>
      <c r="E31">
        <v>0</v>
      </c>
      <c r="F31">
        <v>414.88</v>
      </c>
    </row>
    <row r="32" spans="1:19" x14ac:dyDescent="0.3">
      <c r="A32" t="s">
        <v>11</v>
      </c>
      <c r="B32">
        <v>2001</v>
      </c>
      <c r="C32">
        <v>3</v>
      </c>
      <c r="D32">
        <v>0</v>
      </c>
      <c r="E32">
        <v>0</v>
      </c>
      <c r="F32">
        <v>429.09</v>
      </c>
    </row>
    <row r="33" spans="1:11" x14ac:dyDescent="0.3">
      <c r="A33" t="s">
        <v>11</v>
      </c>
      <c r="B33">
        <v>14</v>
      </c>
      <c r="C33">
        <v>1</v>
      </c>
      <c r="D33">
        <v>10051361.0947266</v>
      </c>
      <c r="E33">
        <v>0</v>
      </c>
      <c r="F33">
        <v>444.06</v>
      </c>
      <c r="G33" t="s">
        <v>6</v>
      </c>
      <c r="H33">
        <v>1</v>
      </c>
      <c r="I33">
        <f t="shared" ref="I33:J35" si="4">D33/(C33+D33)</f>
        <v>0.99999990051099641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11</v>
      </c>
      <c r="B34">
        <v>14</v>
      </c>
      <c r="C34">
        <v>3</v>
      </c>
      <c r="D34">
        <v>10574248.7382813</v>
      </c>
      <c r="E34">
        <v>0</v>
      </c>
      <c r="F34">
        <v>458.93</v>
      </c>
      <c r="G34" t="s">
        <v>6</v>
      </c>
      <c r="H34">
        <v>1</v>
      </c>
      <c r="I34">
        <f t="shared" si="4"/>
        <v>0.99999971629198225</v>
      </c>
      <c r="J34" s="6">
        <f t="shared" si="4"/>
        <v>0</v>
      </c>
      <c r="K34" s="2">
        <f>(J34*$N$3)/$N$2</f>
        <v>0</v>
      </c>
    </row>
    <row r="35" spans="1:11" x14ac:dyDescent="0.3">
      <c r="A35" t="s">
        <v>11</v>
      </c>
      <c r="B35">
        <v>14</v>
      </c>
      <c r="C35">
        <v>5</v>
      </c>
      <c r="D35">
        <v>10881566.7509766</v>
      </c>
      <c r="E35">
        <v>0</v>
      </c>
      <c r="F35">
        <v>473.78</v>
      </c>
      <c r="G35" t="s">
        <v>6</v>
      </c>
      <c r="H35">
        <v>1</v>
      </c>
      <c r="I35">
        <f t="shared" si="4"/>
        <v>0.99999954050755591</v>
      </c>
      <c r="J35" s="6">
        <f t="shared" si="4"/>
        <v>0</v>
      </c>
      <c r="K35" s="2">
        <f>(J35*$N$3)/$N$2</f>
        <v>0</v>
      </c>
    </row>
    <row r="36" spans="1:11" x14ac:dyDescent="0.3">
      <c r="A36" t="s">
        <v>11</v>
      </c>
      <c r="B36">
        <v>2001</v>
      </c>
      <c r="C36">
        <v>2</v>
      </c>
      <c r="D36">
        <v>0</v>
      </c>
      <c r="E36">
        <v>0</v>
      </c>
      <c r="F36">
        <v>488.23</v>
      </c>
    </row>
    <row r="37" spans="1:11" x14ac:dyDescent="0.3">
      <c r="A37" t="s">
        <v>11</v>
      </c>
      <c r="B37">
        <v>2001</v>
      </c>
      <c r="C37">
        <v>3</v>
      </c>
      <c r="D37">
        <v>0</v>
      </c>
      <c r="E37">
        <v>0</v>
      </c>
      <c r="F37">
        <v>502.41</v>
      </c>
    </row>
    <row r="38" spans="1:11" x14ac:dyDescent="0.3">
      <c r="A38" t="s">
        <v>11</v>
      </c>
      <c r="B38">
        <v>14</v>
      </c>
      <c r="C38">
        <v>7</v>
      </c>
      <c r="D38">
        <v>13512549.7734375</v>
      </c>
      <c r="E38">
        <v>0</v>
      </c>
      <c r="F38">
        <v>517.36</v>
      </c>
      <c r="G38" t="s">
        <v>7</v>
      </c>
      <c r="H38">
        <v>1</v>
      </c>
      <c r="I38">
        <f t="shared" ref="I38:J40" si="5">D38/(C38+D38)</f>
        <v>0.99999948196332367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11</v>
      </c>
      <c r="B39">
        <v>14</v>
      </c>
      <c r="C39">
        <v>9</v>
      </c>
      <c r="D39">
        <v>13084255.2299805</v>
      </c>
      <c r="E39">
        <v>0</v>
      </c>
      <c r="F39">
        <v>532.30999999999995</v>
      </c>
      <c r="G39" t="s">
        <v>7</v>
      </c>
      <c r="H39">
        <v>1</v>
      </c>
      <c r="I39">
        <f t="shared" si="5"/>
        <v>0.99999931215085225</v>
      </c>
      <c r="J39" s="6">
        <f t="shared" si="5"/>
        <v>0</v>
      </c>
      <c r="K39" s="2">
        <f>(J39*$N$3)/$N$2</f>
        <v>0</v>
      </c>
    </row>
    <row r="40" spans="1:11" x14ac:dyDescent="0.3">
      <c r="A40" t="s">
        <v>11</v>
      </c>
      <c r="B40">
        <v>14</v>
      </c>
      <c r="C40">
        <v>11</v>
      </c>
      <c r="D40">
        <v>13053856.6796875</v>
      </c>
      <c r="E40">
        <v>0</v>
      </c>
      <c r="F40">
        <v>547.21</v>
      </c>
      <c r="G40" t="s">
        <v>7</v>
      </c>
      <c r="H40">
        <v>1</v>
      </c>
      <c r="I40">
        <f t="shared" si="5"/>
        <v>0.99999915733786571</v>
      </c>
      <c r="J40" s="6">
        <f t="shared" si="5"/>
        <v>0</v>
      </c>
      <c r="K40" s="2">
        <f>(J40*$N$3)/$N$2</f>
        <v>0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561.54999999999995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575.86</v>
      </c>
    </row>
    <row r="43" spans="1:11" x14ac:dyDescent="0.3">
      <c r="A43" t="s">
        <v>11</v>
      </c>
      <c r="B43">
        <v>2001</v>
      </c>
      <c r="C43">
        <v>2</v>
      </c>
      <c r="D43">
        <v>0</v>
      </c>
      <c r="E43">
        <v>0</v>
      </c>
      <c r="F43">
        <v>590.27</v>
      </c>
    </row>
    <row r="44" spans="1:11" x14ac:dyDescent="0.3">
      <c r="A44" t="s">
        <v>11</v>
      </c>
      <c r="B44">
        <v>2001</v>
      </c>
      <c r="C44">
        <v>3</v>
      </c>
      <c r="D44">
        <v>0</v>
      </c>
      <c r="E44">
        <v>0</v>
      </c>
      <c r="F44">
        <v>604.4</v>
      </c>
    </row>
    <row r="45" spans="1:11" x14ac:dyDescent="0.3">
      <c r="A45" t="s">
        <v>11</v>
      </c>
      <c r="B45">
        <v>13</v>
      </c>
      <c r="C45">
        <v>1</v>
      </c>
      <c r="D45">
        <v>10188166.4296875</v>
      </c>
      <c r="E45">
        <v>0</v>
      </c>
      <c r="F45">
        <v>619.34</v>
      </c>
      <c r="G45" t="s">
        <v>6</v>
      </c>
      <c r="H45">
        <v>1.5</v>
      </c>
      <c r="I45">
        <f t="shared" ref="I45:J47" si="6">D45/(C45+D45)</f>
        <v>0.99999990184692122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11</v>
      </c>
      <c r="B46">
        <v>13</v>
      </c>
      <c r="C46">
        <v>3</v>
      </c>
      <c r="D46">
        <v>11471253.0703125</v>
      </c>
      <c r="E46">
        <v>0</v>
      </c>
      <c r="F46">
        <v>634.16</v>
      </c>
      <c r="G46" t="s">
        <v>6</v>
      </c>
      <c r="H46">
        <v>1.5</v>
      </c>
      <c r="I46">
        <f t="shared" si="6"/>
        <v>0.99999973847676471</v>
      </c>
      <c r="J46" s="6">
        <f t="shared" si="6"/>
        <v>0</v>
      </c>
      <c r="K46" s="2">
        <f>(J46*$N$3)/$N$2</f>
        <v>0</v>
      </c>
    </row>
    <row r="47" spans="1:11" x14ac:dyDescent="0.3">
      <c r="A47" t="s">
        <v>11</v>
      </c>
      <c r="B47">
        <v>13</v>
      </c>
      <c r="C47">
        <v>5</v>
      </c>
      <c r="D47">
        <v>10931055.5625</v>
      </c>
      <c r="E47">
        <v>0</v>
      </c>
      <c r="F47">
        <v>649.13</v>
      </c>
      <c r="G47" t="s">
        <v>6</v>
      </c>
      <c r="H47">
        <v>1.5</v>
      </c>
      <c r="I47">
        <f t="shared" si="6"/>
        <v>0.99999954258784207</v>
      </c>
      <c r="J47" s="6">
        <f t="shared" si="6"/>
        <v>0</v>
      </c>
      <c r="K47" s="2">
        <f>(J47*$N$3)/$N$2</f>
        <v>0</v>
      </c>
    </row>
    <row r="48" spans="1:11" x14ac:dyDescent="0.3">
      <c r="A48" t="s">
        <v>11</v>
      </c>
      <c r="B48">
        <v>2001</v>
      </c>
      <c r="C48">
        <v>2</v>
      </c>
      <c r="D48">
        <v>0</v>
      </c>
      <c r="E48">
        <v>0</v>
      </c>
      <c r="F48">
        <v>663.58</v>
      </c>
    </row>
    <row r="49" spans="1:11" x14ac:dyDescent="0.3">
      <c r="A49" t="s">
        <v>11</v>
      </c>
      <c r="B49">
        <v>2001</v>
      </c>
      <c r="C49">
        <v>3</v>
      </c>
      <c r="D49">
        <v>0</v>
      </c>
      <c r="E49">
        <v>0</v>
      </c>
      <c r="F49">
        <v>677.78</v>
      </c>
    </row>
    <row r="50" spans="1:11" x14ac:dyDescent="0.3">
      <c r="A50" t="s">
        <v>11</v>
      </c>
      <c r="B50">
        <v>13</v>
      </c>
      <c r="C50">
        <v>7</v>
      </c>
      <c r="D50">
        <v>13053129.7539063</v>
      </c>
      <c r="E50">
        <v>0</v>
      </c>
      <c r="F50">
        <v>692.61</v>
      </c>
      <c r="G50" t="s">
        <v>7</v>
      </c>
      <c r="H50">
        <v>1.5</v>
      </c>
      <c r="I50">
        <f t="shared" ref="I50:J52" si="7">D50/(C50+D50)</f>
        <v>0.99999946373043258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11</v>
      </c>
      <c r="B51">
        <v>13</v>
      </c>
      <c r="C51">
        <v>9</v>
      </c>
      <c r="D51">
        <v>13407328.603515601</v>
      </c>
      <c r="E51">
        <v>0</v>
      </c>
      <c r="F51">
        <v>707.48</v>
      </c>
      <c r="G51" t="s">
        <v>7</v>
      </c>
      <c r="H51">
        <v>1.5</v>
      </c>
      <c r="I51">
        <f t="shared" si="7"/>
        <v>0.9999993287257869</v>
      </c>
      <c r="J51" s="6">
        <f t="shared" si="7"/>
        <v>0</v>
      </c>
      <c r="K51" s="2">
        <f>(J51*$N$3)/$N$2</f>
        <v>0</v>
      </c>
    </row>
    <row r="52" spans="1:11" x14ac:dyDescent="0.3">
      <c r="A52" t="s">
        <v>11</v>
      </c>
      <c r="B52">
        <v>13</v>
      </c>
      <c r="C52">
        <v>11</v>
      </c>
      <c r="D52">
        <v>13749838.4101563</v>
      </c>
      <c r="E52">
        <v>0</v>
      </c>
      <c r="F52">
        <v>722.47</v>
      </c>
      <c r="G52" t="s">
        <v>7</v>
      </c>
      <c r="H52">
        <v>1.5</v>
      </c>
      <c r="I52">
        <f t="shared" si="7"/>
        <v>0.99999919999123832</v>
      </c>
      <c r="J52" s="6">
        <f t="shared" si="7"/>
        <v>0</v>
      </c>
      <c r="K52" s="2">
        <f>(J52*$N$3)/$N$2</f>
        <v>0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736.78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751.06</v>
      </c>
    </row>
    <row r="55" spans="1:11" x14ac:dyDescent="0.3">
      <c r="A55" t="s">
        <v>11</v>
      </c>
      <c r="B55">
        <v>2001</v>
      </c>
      <c r="C55">
        <v>2</v>
      </c>
      <c r="D55">
        <v>0</v>
      </c>
      <c r="E55">
        <v>0</v>
      </c>
      <c r="F55">
        <v>765.5</v>
      </c>
    </row>
    <row r="56" spans="1:11" x14ac:dyDescent="0.3">
      <c r="A56" t="s">
        <v>11</v>
      </c>
      <c r="B56">
        <v>2001</v>
      </c>
      <c r="C56">
        <v>3</v>
      </c>
      <c r="D56">
        <v>0</v>
      </c>
      <c r="E56">
        <v>0</v>
      </c>
      <c r="F56">
        <v>779.67</v>
      </c>
    </row>
    <row r="57" spans="1:11" x14ac:dyDescent="0.3">
      <c r="A57" t="s">
        <v>11</v>
      </c>
      <c r="B57">
        <v>12</v>
      </c>
      <c r="C57">
        <v>1</v>
      </c>
      <c r="D57">
        <v>10089644.330566401</v>
      </c>
      <c r="E57">
        <v>0</v>
      </c>
      <c r="F57">
        <v>794.52</v>
      </c>
      <c r="G57" t="s">
        <v>6</v>
      </c>
      <c r="H57">
        <v>3</v>
      </c>
      <c r="I57">
        <f t="shared" ref="I57:J59" si="8">D57/(C57+D57)</f>
        <v>0.99999990088848845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11</v>
      </c>
      <c r="B58">
        <v>12</v>
      </c>
      <c r="C58">
        <v>3</v>
      </c>
      <c r="D58">
        <v>12092016.294921899</v>
      </c>
      <c r="E58">
        <v>0</v>
      </c>
      <c r="F58">
        <v>809.51</v>
      </c>
      <c r="G58" t="s">
        <v>6</v>
      </c>
      <c r="H58">
        <v>3</v>
      </c>
      <c r="I58">
        <f t="shared" si="8"/>
        <v>0.99999975190247992</v>
      </c>
      <c r="J58" s="6">
        <f t="shared" si="8"/>
        <v>0</v>
      </c>
      <c r="K58" s="2">
        <f>(J58*$N$3)/$N$2</f>
        <v>0</v>
      </c>
    </row>
    <row r="59" spans="1:11" x14ac:dyDescent="0.3">
      <c r="A59" t="s">
        <v>11</v>
      </c>
      <c r="B59">
        <v>12</v>
      </c>
      <c r="C59">
        <v>5</v>
      </c>
      <c r="D59">
        <v>11511051.837890601</v>
      </c>
      <c r="E59">
        <v>0</v>
      </c>
      <c r="F59">
        <v>824.43</v>
      </c>
      <c r="G59" t="s">
        <v>6</v>
      </c>
      <c r="H59">
        <v>3</v>
      </c>
      <c r="I59">
        <f t="shared" si="8"/>
        <v>0.99999956563501768</v>
      </c>
      <c r="J59" s="6">
        <f t="shared" si="8"/>
        <v>0</v>
      </c>
      <c r="K59" s="2">
        <f>(J59*$N$3)/$N$2</f>
        <v>0</v>
      </c>
    </row>
    <row r="60" spans="1:11" x14ac:dyDescent="0.3">
      <c r="A60" t="s">
        <v>11</v>
      </c>
      <c r="B60">
        <v>2001</v>
      </c>
      <c r="C60">
        <v>2</v>
      </c>
      <c r="D60">
        <v>0</v>
      </c>
      <c r="E60">
        <v>0</v>
      </c>
      <c r="F60">
        <v>838.83</v>
      </c>
    </row>
    <row r="61" spans="1:11" x14ac:dyDescent="0.3">
      <c r="A61" t="s">
        <v>11</v>
      </c>
      <c r="B61">
        <v>2001</v>
      </c>
      <c r="C61">
        <v>3</v>
      </c>
      <c r="D61">
        <v>0</v>
      </c>
      <c r="E61">
        <v>0</v>
      </c>
      <c r="F61">
        <v>853</v>
      </c>
    </row>
    <row r="62" spans="1:11" x14ac:dyDescent="0.3">
      <c r="A62" t="s">
        <v>11</v>
      </c>
      <c r="B62">
        <v>12</v>
      </c>
      <c r="C62">
        <v>7</v>
      </c>
      <c r="D62">
        <v>12906010.736816401</v>
      </c>
      <c r="E62">
        <v>0</v>
      </c>
      <c r="F62">
        <v>867.82</v>
      </c>
      <c r="G62" t="s">
        <v>7</v>
      </c>
      <c r="H62">
        <v>3</v>
      </c>
      <c r="I62">
        <f t="shared" ref="I62:J64" si="9">D62/(C62+D62)</f>
        <v>0.99999945761735787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11</v>
      </c>
      <c r="B63">
        <v>12</v>
      </c>
      <c r="C63">
        <v>9</v>
      </c>
      <c r="D63">
        <v>13191696.1875</v>
      </c>
      <c r="E63">
        <v>0</v>
      </c>
      <c r="F63">
        <v>882.74</v>
      </c>
      <c r="G63" t="s">
        <v>7</v>
      </c>
      <c r="H63">
        <v>3</v>
      </c>
      <c r="I63">
        <f t="shared" si="9"/>
        <v>0.99999931775309769</v>
      </c>
      <c r="J63" s="6">
        <f t="shared" si="9"/>
        <v>0</v>
      </c>
      <c r="K63" s="2">
        <f>(J63*$N$3)/$N$2</f>
        <v>0</v>
      </c>
    </row>
    <row r="64" spans="1:11" x14ac:dyDescent="0.3">
      <c r="A64" t="s">
        <v>11</v>
      </c>
      <c r="B64">
        <v>12</v>
      </c>
      <c r="C64">
        <v>11</v>
      </c>
      <c r="D64">
        <v>13807827.815429701</v>
      </c>
      <c r="E64">
        <v>0</v>
      </c>
      <c r="F64">
        <v>897.7</v>
      </c>
      <c r="G64" t="s">
        <v>7</v>
      </c>
      <c r="H64">
        <v>3</v>
      </c>
      <c r="I64">
        <f t="shared" si="9"/>
        <v>0.99999920335107129</v>
      </c>
      <c r="J64" s="6">
        <f t="shared" si="9"/>
        <v>0</v>
      </c>
      <c r="K64" s="2">
        <f>(J64*$N$3)/$N$2</f>
        <v>0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912.15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926.33</v>
      </c>
    </row>
    <row r="67" spans="1:11" x14ac:dyDescent="0.3">
      <c r="A67" t="s">
        <v>11</v>
      </c>
      <c r="B67">
        <v>2001</v>
      </c>
      <c r="C67">
        <v>2</v>
      </c>
      <c r="D67">
        <v>0</v>
      </c>
      <c r="E67">
        <v>0</v>
      </c>
      <c r="F67">
        <v>940.68</v>
      </c>
    </row>
    <row r="68" spans="1:11" x14ac:dyDescent="0.3">
      <c r="A68" t="s">
        <v>11</v>
      </c>
      <c r="B68">
        <v>2001</v>
      </c>
      <c r="C68">
        <v>3</v>
      </c>
      <c r="D68">
        <v>0</v>
      </c>
      <c r="E68">
        <v>0</v>
      </c>
      <c r="F68">
        <v>954.87</v>
      </c>
    </row>
    <row r="69" spans="1:11" x14ac:dyDescent="0.3">
      <c r="A69" t="s">
        <v>11</v>
      </c>
      <c r="B69">
        <v>11</v>
      </c>
      <c r="C69">
        <v>1</v>
      </c>
      <c r="D69">
        <v>10722674.7724609</v>
      </c>
      <c r="E69">
        <v>0</v>
      </c>
      <c r="F69">
        <v>969.86</v>
      </c>
      <c r="G69" t="s">
        <v>6</v>
      </c>
      <c r="H69">
        <v>5</v>
      </c>
      <c r="I69">
        <f t="shared" ref="I69:J71" si="10">D69/(C69+D69)</f>
        <v>0.99999990673969619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11</v>
      </c>
      <c r="B70">
        <v>11</v>
      </c>
      <c r="C70">
        <v>3</v>
      </c>
      <c r="D70">
        <v>11516216.997070299</v>
      </c>
      <c r="E70">
        <v>0</v>
      </c>
      <c r="F70">
        <v>984.71</v>
      </c>
      <c r="G70" t="s">
        <v>6</v>
      </c>
      <c r="H70">
        <v>5</v>
      </c>
      <c r="I70">
        <f t="shared" si="10"/>
        <v>0.99999973949785603</v>
      </c>
      <c r="J70" s="6">
        <f t="shared" si="10"/>
        <v>0</v>
      </c>
      <c r="K70" s="2">
        <f>(J70*$N$3)/$N$2</f>
        <v>0</v>
      </c>
    </row>
    <row r="71" spans="1:11" x14ac:dyDescent="0.3">
      <c r="A71" t="s">
        <v>11</v>
      </c>
      <c r="B71">
        <v>11</v>
      </c>
      <c r="C71">
        <v>5</v>
      </c>
      <c r="D71">
        <v>10925607.6337891</v>
      </c>
      <c r="E71">
        <v>0</v>
      </c>
      <c r="F71">
        <v>999.7</v>
      </c>
      <c r="G71" t="s">
        <v>6</v>
      </c>
      <c r="H71">
        <v>5</v>
      </c>
      <c r="I71">
        <f t="shared" si="10"/>
        <v>0.99999954235975885</v>
      </c>
      <c r="J71" s="6">
        <f t="shared" si="10"/>
        <v>0</v>
      </c>
      <c r="K71" s="2">
        <f>(J71*$N$3)/$N$2</f>
        <v>0</v>
      </c>
    </row>
    <row r="72" spans="1:11" x14ac:dyDescent="0.3">
      <c r="A72" t="s">
        <v>11</v>
      </c>
      <c r="B72">
        <v>2001</v>
      </c>
      <c r="C72">
        <v>2</v>
      </c>
      <c r="D72">
        <v>0</v>
      </c>
      <c r="E72">
        <v>0</v>
      </c>
      <c r="F72">
        <v>1014.02</v>
      </c>
    </row>
    <row r="73" spans="1:11" x14ac:dyDescent="0.3">
      <c r="A73" t="s">
        <v>11</v>
      </c>
      <c r="B73">
        <v>2001</v>
      </c>
      <c r="C73">
        <v>3</v>
      </c>
      <c r="D73">
        <v>0</v>
      </c>
      <c r="E73">
        <v>0</v>
      </c>
      <c r="F73">
        <v>1028.31</v>
      </c>
    </row>
    <row r="74" spans="1:11" x14ac:dyDescent="0.3">
      <c r="A74" t="s">
        <v>11</v>
      </c>
      <c r="B74">
        <v>11</v>
      </c>
      <c r="C74">
        <v>7</v>
      </c>
      <c r="D74">
        <v>13009156.3945313</v>
      </c>
      <c r="E74">
        <v>0</v>
      </c>
      <c r="F74">
        <v>1043.1300000000001</v>
      </c>
      <c r="G74" t="s">
        <v>7</v>
      </c>
      <c r="H74">
        <v>5</v>
      </c>
      <c r="I74">
        <f t="shared" ref="I74:J76" si="11">D74/(C74+D74)</f>
        <v>0.99999946191774303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11</v>
      </c>
      <c r="B75">
        <v>11</v>
      </c>
      <c r="C75">
        <v>9</v>
      </c>
      <c r="D75">
        <v>12687886.0703125</v>
      </c>
      <c r="E75">
        <v>0</v>
      </c>
      <c r="F75">
        <v>1058.0999999999999</v>
      </c>
      <c r="G75" t="s">
        <v>7</v>
      </c>
      <c r="H75">
        <v>5</v>
      </c>
      <c r="I75">
        <f t="shared" si="11"/>
        <v>0.99999929066248183</v>
      </c>
      <c r="J75" s="6">
        <f t="shared" si="11"/>
        <v>0</v>
      </c>
      <c r="K75" s="2">
        <f>(J75*$N$3)/$N$2</f>
        <v>0</v>
      </c>
    </row>
    <row r="76" spans="1:11" x14ac:dyDescent="0.3">
      <c r="A76" t="s">
        <v>11</v>
      </c>
      <c r="B76">
        <v>11</v>
      </c>
      <c r="C76">
        <v>11</v>
      </c>
      <c r="D76">
        <v>12594829.458007799</v>
      </c>
      <c r="E76">
        <v>0</v>
      </c>
      <c r="F76">
        <v>1072.95</v>
      </c>
      <c r="G76" t="s">
        <v>7</v>
      </c>
      <c r="H76">
        <v>5</v>
      </c>
      <c r="I76">
        <f t="shared" si="11"/>
        <v>0.99999912662649149</v>
      </c>
      <c r="J76" s="6">
        <f t="shared" si="11"/>
        <v>0</v>
      </c>
      <c r="K76" s="2">
        <f>(J76*$N$3)/$N$2</f>
        <v>0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1087.42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1101.5999999999999</v>
      </c>
    </row>
    <row r="79" spans="1:11" x14ac:dyDescent="0.3">
      <c r="A79" t="s">
        <v>11</v>
      </c>
      <c r="B79">
        <v>2001</v>
      </c>
      <c r="C79">
        <v>2</v>
      </c>
      <c r="D79">
        <v>0</v>
      </c>
      <c r="E79">
        <v>0</v>
      </c>
      <c r="F79">
        <v>1116.06</v>
      </c>
    </row>
    <row r="80" spans="1:11" x14ac:dyDescent="0.3">
      <c r="A80" t="s">
        <v>11</v>
      </c>
      <c r="B80">
        <v>2001</v>
      </c>
      <c r="C80">
        <v>3</v>
      </c>
      <c r="D80">
        <v>0</v>
      </c>
      <c r="E80">
        <v>0</v>
      </c>
      <c r="F80">
        <v>1130.25</v>
      </c>
    </row>
    <row r="81" spans="1:11" x14ac:dyDescent="0.3">
      <c r="A81" t="s">
        <v>11</v>
      </c>
      <c r="B81">
        <v>10</v>
      </c>
      <c r="C81">
        <v>1</v>
      </c>
      <c r="D81">
        <v>9588271.92578125</v>
      </c>
      <c r="E81">
        <v>0</v>
      </c>
      <c r="F81">
        <v>1145.0899999999999</v>
      </c>
      <c r="G81" t="s">
        <v>6</v>
      </c>
      <c r="H81">
        <v>10</v>
      </c>
      <c r="I81">
        <f t="shared" ref="I81:J83" si="12">D81/(C81+D81)</f>
        <v>0.99999989570593084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11</v>
      </c>
      <c r="B82">
        <v>10</v>
      </c>
      <c r="C82">
        <v>3</v>
      </c>
      <c r="D82">
        <v>11208225.689453101</v>
      </c>
      <c r="E82">
        <v>0</v>
      </c>
      <c r="F82">
        <v>1160.03</v>
      </c>
      <c r="G82" t="s">
        <v>6</v>
      </c>
      <c r="H82">
        <v>10</v>
      </c>
      <c r="I82">
        <f t="shared" si="12"/>
        <v>0.99999973233950845</v>
      </c>
      <c r="J82" s="6">
        <f t="shared" si="12"/>
        <v>0</v>
      </c>
      <c r="K82" s="2">
        <f>(J82*$N$3)/$N$2</f>
        <v>0</v>
      </c>
    </row>
    <row r="83" spans="1:11" x14ac:dyDescent="0.3">
      <c r="A83" t="s">
        <v>11</v>
      </c>
      <c r="B83">
        <v>10</v>
      </c>
      <c r="C83">
        <v>5</v>
      </c>
      <c r="D83">
        <v>9960095.8720703106</v>
      </c>
      <c r="E83">
        <v>0</v>
      </c>
      <c r="F83">
        <v>1174.95</v>
      </c>
      <c r="G83" t="s">
        <v>6</v>
      </c>
      <c r="H83">
        <v>10</v>
      </c>
      <c r="I83">
        <f t="shared" si="12"/>
        <v>0.99999949799705201</v>
      </c>
      <c r="J83" s="6">
        <f t="shared" si="12"/>
        <v>0</v>
      </c>
      <c r="K83" s="2">
        <f>(J83*$N$3)/$N$2</f>
        <v>0</v>
      </c>
    </row>
    <row r="84" spans="1:11" x14ac:dyDescent="0.3">
      <c r="A84" t="s">
        <v>11</v>
      </c>
      <c r="B84">
        <v>2001</v>
      </c>
      <c r="C84">
        <v>2</v>
      </c>
      <c r="D84">
        <v>0</v>
      </c>
      <c r="E84">
        <v>0</v>
      </c>
      <c r="F84">
        <v>1189.4000000000001</v>
      </c>
    </row>
    <row r="85" spans="1:11" x14ac:dyDescent="0.3">
      <c r="A85" t="s">
        <v>11</v>
      </c>
      <c r="B85">
        <v>2001</v>
      </c>
      <c r="C85">
        <v>3</v>
      </c>
      <c r="D85">
        <v>0</v>
      </c>
      <c r="E85">
        <v>0</v>
      </c>
      <c r="F85">
        <v>1203.5899999999999</v>
      </c>
    </row>
    <row r="86" spans="1:11" x14ac:dyDescent="0.3">
      <c r="A86" t="s">
        <v>11</v>
      </c>
      <c r="B86">
        <v>10</v>
      </c>
      <c r="C86">
        <v>7</v>
      </c>
      <c r="D86">
        <v>13031495.362793</v>
      </c>
      <c r="E86">
        <v>0</v>
      </c>
      <c r="F86">
        <v>1218.3900000000001</v>
      </c>
      <c r="G86" t="s">
        <v>7</v>
      </c>
      <c r="H86">
        <v>10</v>
      </c>
      <c r="I86">
        <f t="shared" ref="I86:J88" si="13">D86/(C86+D86)</f>
        <v>0.99999946284013885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11</v>
      </c>
      <c r="B87">
        <v>10</v>
      </c>
      <c r="C87">
        <v>9</v>
      </c>
      <c r="D87">
        <v>12975429.396484399</v>
      </c>
      <c r="E87">
        <v>0</v>
      </c>
      <c r="F87">
        <v>1233.0999999999999</v>
      </c>
      <c r="G87" t="s">
        <v>7</v>
      </c>
      <c r="H87">
        <v>10</v>
      </c>
      <c r="I87">
        <f t="shared" si="13"/>
        <v>0.99999930638181733</v>
      </c>
      <c r="J87" s="6">
        <f t="shared" si="13"/>
        <v>0</v>
      </c>
      <c r="K87" s="2">
        <f>(J87*$N$3)/$N$2</f>
        <v>0</v>
      </c>
    </row>
    <row r="88" spans="1:11" x14ac:dyDescent="0.3">
      <c r="A88" t="s">
        <v>11</v>
      </c>
      <c r="B88">
        <v>10</v>
      </c>
      <c r="C88">
        <v>11</v>
      </c>
      <c r="D88">
        <v>12927864.296875</v>
      </c>
      <c r="E88">
        <v>0</v>
      </c>
      <c r="F88">
        <v>1247.8</v>
      </c>
      <c r="G88" t="s">
        <v>7</v>
      </c>
      <c r="H88">
        <v>10</v>
      </c>
      <c r="I88">
        <f t="shared" si="13"/>
        <v>0.99999914912545584</v>
      </c>
      <c r="J88" s="6">
        <f t="shared" si="13"/>
        <v>0</v>
      </c>
      <c r="K88" s="2">
        <f>(J88*$N$3)/$N$2</f>
        <v>0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1262.23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1276.43</v>
      </c>
    </row>
    <row r="91" spans="1:11" x14ac:dyDescent="0.3">
      <c r="A91" t="s">
        <v>11</v>
      </c>
      <c r="B91">
        <v>2001</v>
      </c>
      <c r="C91">
        <v>2</v>
      </c>
      <c r="D91">
        <v>0</v>
      </c>
      <c r="E91">
        <v>0</v>
      </c>
      <c r="F91">
        <v>1290.75</v>
      </c>
    </row>
    <row r="92" spans="1:11" x14ac:dyDescent="0.3">
      <c r="A92" t="s">
        <v>11</v>
      </c>
      <c r="B92">
        <v>2001</v>
      </c>
      <c r="C92">
        <v>3</v>
      </c>
      <c r="D92">
        <v>0</v>
      </c>
      <c r="E92">
        <v>0</v>
      </c>
      <c r="F92">
        <v>1305.05</v>
      </c>
    </row>
    <row r="93" spans="1:11" x14ac:dyDescent="0.3">
      <c r="A93" t="s">
        <v>11</v>
      </c>
      <c r="B93">
        <v>9</v>
      </c>
      <c r="C93">
        <v>1</v>
      </c>
      <c r="D93">
        <v>8718125.65771484</v>
      </c>
      <c r="E93">
        <v>35524.8486328125</v>
      </c>
      <c r="F93">
        <v>1319.87</v>
      </c>
      <c r="G93" t="s">
        <v>6</v>
      </c>
      <c r="H93">
        <v>20</v>
      </c>
      <c r="I93">
        <f t="shared" ref="I93:J95" si="14">D93/(C93+D93)</f>
        <v>0.99999988529645878</v>
      </c>
      <c r="J93" s="6">
        <f t="shared" si="14"/>
        <v>4.0582895795362043E-3</v>
      </c>
      <c r="K93" s="2">
        <f>(J93*$N$3)/$N$2</f>
        <v>1.3936400494697312E-2</v>
      </c>
    </row>
    <row r="94" spans="1:11" x14ac:dyDescent="0.3">
      <c r="A94" t="s">
        <v>11</v>
      </c>
      <c r="B94">
        <v>9</v>
      </c>
      <c r="C94">
        <v>3</v>
      </c>
      <c r="D94">
        <v>10889575.684082</v>
      </c>
      <c r="E94">
        <v>36914.717285156301</v>
      </c>
      <c r="F94">
        <v>1334.8</v>
      </c>
      <c r="G94" t="s">
        <v>6</v>
      </c>
      <c r="H94">
        <v>20</v>
      </c>
      <c r="I94">
        <f t="shared" si="14"/>
        <v>0.99999972450724794</v>
      </c>
      <c r="J94" s="6">
        <f t="shared" si="14"/>
        <v>3.3784605970584498E-3</v>
      </c>
      <c r="K94" s="2">
        <f>(J94*$N$3)/$N$2</f>
        <v>1.1601828556931523E-2</v>
      </c>
    </row>
    <row r="95" spans="1:11" x14ac:dyDescent="0.3">
      <c r="A95" t="s">
        <v>11</v>
      </c>
      <c r="B95">
        <v>9</v>
      </c>
      <c r="C95">
        <v>5</v>
      </c>
      <c r="D95">
        <v>11678493.1806641</v>
      </c>
      <c r="E95">
        <v>43882.143066406301</v>
      </c>
      <c r="F95">
        <v>1349.72</v>
      </c>
      <c r="G95" t="s">
        <v>6</v>
      </c>
      <c r="H95">
        <v>20</v>
      </c>
      <c r="I95">
        <f t="shared" si="14"/>
        <v>0.99999957186275812</v>
      </c>
      <c r="J95" s="6">
        <f t="shared" si="14"/>
        <v>3.7434514639343021E-3</v>
      </c>
      <c r="K95" s="2">
        <f>(J95*$N$3)/$N$2</f>
        <v>1.2855228246135062E-2</v>
      </c>
    </row>
    <row r="96" spans="1:11" x14ac:dyDescent="0.3">
      <c r="A96" t="s">
        <v>11</v>
      </c>
      <c r="B96">
        <v>2001</v>
      </c>
      <c r="C96">
        <v>2</v>
      </c>
      <c r="D96">
        <v>0</v>
      </c>
      <c r="E96">
        <v>0</v>
      </c>
      <c r="F96">
        <v>1364.16</v>
      </c>
    </row>
    <row r="97" spans="1:11" x14ac:dyDescent="0.3">
      <c r="A97" t="s">
        <v>11</v>
      </c>
      <c r="B97">
        <v>2001</v>
      </c>
      <c r="C97">
        <v>3</v>
      </c>
      <c r="D97">
        <v>0</v>
      </c>
      <c r="E97">
        <v>0</v>
      </c>
      <c r="F97">
        <v>1378.29</v>
      </c>
    </row>
    <row r="98" spans="1:11" x14ac:dyDescent="0.3">
      <c r="A98" t="s">
        <v>11</v>
      </c>
      <c r="B98">
        <v>9</v>
      </c>
      <c r="C98">
        <v>7</v>
      </c>
      <c r="D98">
        <v>11686849.837890601</v>
      </c>
      <c r="E98">
        <v>0</v>
      </c>
      <c r="F98">
        <v>1393.28</v>
      </c>
      <c r="G98" t="s">
        <v>7</v>
      </c>
      <c r="H98">
        <v>20</v>
      </c>
      <c r="I98">
        <f t="shared" ref="I98:J100" si="15">D98/(C98+D98)</f>
        <v>0.99999940103655782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11</v>
      </c>
      <c r="B99">
        <v>9</v>
      </c>
      <c r="C99">
        <v>9</v>
      </c>
      <c r="D99">
        <v>12164409.699707</v>
      </c>
      <c r="E99">
        <v>0</v>
      </c>
      <c r="F99">
        <v>1407.88</v>
      </c>
      <c r="G99" t="s">
        <v>7</v>
      </c>
      <c r="H99">
        <v>20</v>
      </c>
      <c r="I99">
        <f t="shared" si="15"/>
        <v>0.99999926013727225</v>
      </c>
      <c r="J99" s="6">
        <f t="shared" si="15"/>
        <v>0</v>
      </c>
      <c r="K99" s="2">
        <f>(J99*$N$3)/$N$2</f>
        <v>0</v>
      </c>
    </row>
    <row r="100" spans="1:11" x14ac:dyDescent="0.3">
      <c r="A100" t="s">
        <v>11</v>
      </c>
      <c r="B100">
        <v>9</v>
      </c>
      <c r="C100">
        <v>11</v>
      </c>
      <c r="D100">
        <v>12846447.2460938</v>
      </c>
      <c r="E100">
        <v>0</v>
      </c>
      <c r="F100">
        <v>1422.58</v>
      </c>
      <c r="G100" t="s">
        <v>7</v>
      </c>
      <c r="H100">
        <v>20</v>
      </c>
      <c r="I100">
        <f t="shared" si="15"/>
        <v>0.9999991437328648</v>
      </c>
      <c r="J100" s="6">
        <f t="shared" si="15"/>
        <v>0</v>
      </c>
      <c r="K100" s="2">
        <f>(J100*$N$3)/$N$2</f>
        <v>0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1437.01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1451.23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1465.67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1479.86</v>
      </c>
    </row>
    <row r="105" spans="1:11" x14ac:dyDescent="0.3">
      <c r="A105" t="s">
        <v>11</v>
      </c>
      <c r="B105">
        <v>2001</v>
      </c>
      <c r="C105">
        <v>2</v>
      </c>
      <c r="D105">
        <v>0</v>
      </c>
      <c r="E105">
        <v>0</v>
      </c>
      <c r="F105">
        <v>1494.29</v>
      </c>
    </row>
    <row r="106" spans="1:11" x14ac:dyDescent="0.3">
      <c r="A106" t="s">
        <v>11</v>
      </c>
      <c r="B106">
        <v>2001</v>
      </c>
      <c r="C106">
        <v>3</v>
      </c>
      <c r="D106">
        <v>0</v>
      </c>
      <c r="E106">
        <v>0</v>
      </c>
      <c r="F106">
        <v>1508.43</v>
      </c>
    </row>
    <row r="107" spans="1:11" x14ac:dyDescent="0.3">
      <c r="A107" t="s">
        <v>11</v>
      </c>
      <c r="B107">
        <v>8</v>
      </c>
      <c r="C107">
        <v>1</v>
      </c>
      <c r="D107">
        <v>0</v>
      </c>
      <c r="E107">
        <v>0</v>
      </c>
      <c r="F107">
        <v>1523.28</v>
      </c>
      <c r="G107" t="s">
        <v>6</v>
      </c>
      <c r="H107">
        <v>40</v>
      </c>
      <c r="I107">
        <f t="shared" ref="I107:J109" si="16">D107/(C107+D107)</f>
        <v>0</v>
      </c>
      <c r="J107" s="6" t="e">
        <f t="shared" si="16"/>
        <v>#DIV/0!</v>
      </c>
      <c r="K107" s="2" t="e">
        <f>(J107*$N$3)/$N$2</f>
        <v>#DIV/0!</v>
      </c>
    </row>
    <row r="108" spans="1:11" x14ac:dyDescent="0.3">
      <c r="A108" t="s">
        <v>11</v>
      </c>
      <c r="B108">
        <v>8</v>
      </c>
      <c r="C108">
        <v>3</v>
      </c>
      <c r="D108">
        <v>0</v>
      </c>
      <c r="E108">
        <v>0</v>
      </c>
      <c r="F108">
        <v>1538.27</v>
      </c>
      <c r="G108" t="s">
        <v>6</v>
      </c>
      <c r="H108">
        <v>40</v>
      </c>
      <c r="I108">
        <f t="shared" si="16"/>
        <v>0</v>
      </c>
      <c r="J108" s="6" t="e">
        <f t="shared" si="16"/>
        <v>#DIV/0!</v>
      </c>
      <c r="K108" s="2" t="e">
        <f>(J108*$N$3)/$N$2</f>
        <v>#DIV/0!</v>
      </c>
    </row>
    <row r="109" spans="1:11" x14ac:dyDescent="0.3">
      <c r="A109" t="s">
        <v>11</v>
      </c>
      <c r="B109">
        <v>8</v>
      </c>
      <c r="C109">
        <v>5</v>
      </c>
      <c r="D109">
        <v>0</v>
      </c>
      <c r="E109">
        <v>0</v>
      </c>
      <c r="F109">
        <v>1553.08</v>
      </c>
      <c r="G109" t="s">
        <v>6</v>
      </c>
      <c r="H109">
        <v>40</v>
      </c>
      <c r="I109">
        <f t="shared" si="16"/>
        <v>0</v>
      </c>
      <c r="J109" s="6" t="e">
        <f t="shared" si="16"/>
        <v>#DIV/0!</v>
      </c>
      <c r="K109" s="2" t="e">
        <f>(J109*$N$3)/$N$2</f>
        <v>#DIV/0!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1567.56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1581.69</v>
      </c>
    </row>
    <row r="112" spans="1:11" x14ac:dyDescent="0.3">
      <c r="A112" t="s">
        <v>11</v>
      </c>
      <c r="B112">
        <v>2001</v>
      </c>
      <c r="C112">
        <v>2</v>
      </c>
      <c r="D112">
        <v>0</v>
      </c>
      <c r="E112">
        <v>0</v>
      </c>
      <c r="F112">
        <v>1596.15</v>
      </c>
    </row>
    <row r="113" spans="1:11" x14ac:dyDescent="0.3">
      <c r="A113" t="s">
        <v>11</v>
      </c>
      <c r="B113">
        <v>2001</v>
      </c>
      <c r="C113">
        <v>3</v>
      </c>
      <c r="D113">
        <v>0</v>
      </c>
      <c r="E113">
        <v>0</v>
      </c>
      <c r="F113">
        <v>1610.36</v>
      </c>
    </row>
    <row r="114" spans="1:11" x14ac:dyDescent="0.3">
      <c r="A114" t="s">
        <v>11</v>
      </c>
      <c r="B114">
        <v>8</v>
      </c>
      <c r="C114">
        <v>7</v>
      </c>
      <c r="D114">
        <v>0</v>
      </c>
      <c r="E114">
        <v>0</v>
      </c>
      <c r="F114">
        <v>1625.21</v>
      </c>
      <c r="G114" t="s">
        <v>7</v>
      </c>
      <c r="H114">
        <v>40</v>
      </c>
      <c r="I114">
        <f t="shared" ref="I114:J116" si="17">D114/(C114+D114)</f>
        <v>0</v>
      </c>
      <c r="J114" s="6" t="e">
        <f t="shared" si="17"/>
        <v>#DIV/0!</v>
      </c>
      <c r="K114" s="2" t="e">
        <f>(J114*$N$3)/$N$2</f>
        <v>#DIV/0!</v>
      </c>
    </row>
    <row r="115" spans="1:11" x14ac:dyDescent="0.3">
      <c r="A115" t="s">
        <v>11</v>
      </c>
      <c r="B115">
        <v>8</v>
      </c>
      <c r="C115">
        <v>9</v>
      </c>
      <c r="D115">
        <v>0</v>
      </c>
      <c r="E115">
        <v>0</v>
      </c>
      <c r="F115">
        <v>1639.96</v>
      </c>
      <c r="G115" t="s">
        <v>7</v>
      </c>
      <c r="H115">
        <v>40</v>
      </c>
      <c r="I115">
        <f t="shared" si="17"/>
        <v>0</v>
      </c>
      <c r="J115" s="6" t="e">
        <f t="shared" si="17"/>
        <v>#DIV/0!</v>
      </c>
      <c r="K115" s="2" t="e">
        <f>(J115*$N$3)/$N$2</f>
        <v>#DIV/0!</v>
      </c>
    </row>
    <row r="116" spans="1:11" x14ac:dyDescent="0.3">
      <c r="A116" t="s">
        <v>11</v>
      </c>
      <c r="B116">
        <v>8</v>
      </c>
      <c r="C116">
        <v>11</v>
      </c>
      <c r="D116">
        <v>0</v>
      </c>
      <c r="E116">
        <v>0</v>
      </c>
      <c r="F116">
        <v>1654.67</v>
      </c>
      <c r="G116" t="s">
        <v>7</v>
      </c>
      <c r="H116">
        <v>40</v>
      </c>
      <c r="I116">
        <f t="shared" si="17"/>
        <v>0</v>
      </c>
      <c r="J116" s="6" t="e">
        <f t="shared" si="17"/>
        <v>#DIV/0!</v>
      </c>
      <c r="K116" s="2" t="e">
        <f>(J116*$N$3)/$N$2</f>
        <v>#DIV/0!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1669.01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1683.2</v>
      </c>
    </row>
    <row r="119" spans="1:11" x14ac:dyDescent="0.3">
      <c r="A119" t="s">
        <v>11</v>
      </c>
      <c r="B119">
        <v>2001</v>
      </c>
      <c r="C119">
        <v>2</v>
      </c>
      <c r="D119">
        <v>0</v>
      </c>
      <c r="E119">
        <v>0</v>
      </c>
      <c r="F119">
        <v>1697.64</v>
      </c>
    </row>
    <row r="120" spans="1:11" x14ac:dyDescent="0.3">
      <c r="A120" t="s">
        <v>11</v>
      </c>
      <c r="B120">
        <v>2001</v>
      </c>
      <c r="C120">
        <v>3</v>
      </c>
      <c r="D120">
        <v>0</v>
      </c>
      <c r="E120">
        <v>0</v>
      </c>
      <c r="F120">
        <v>1711.84</v>
      </c>
    </row>
    <row r="121" spans="1:11" x14ac:dyDescent="0.3">
      <c r="A121" t="s">
        <v>11</v>
      </c>
      <c r="B121">
        <v>7</v>
      </c>
      <c r="C121">
        <v>1</v>
      </c>
      <c r="D121">
        <v>10422888.8393555</v>
      </c>
      <c r="E121">
        <v>219745.80761718799</v>
      </c>
      <c r="F121">
        <v>1726.8</v>
      </c>
      <c r="G121" t="s">
        <v>6</v>
      </c>
      <c r="H121">
        <v>60</v>
      </c>
      <c r="I121">
        <f t="shared" ref="I121:J123" si="18">D121/(C121+D121)</f>
        <v>0.99999990405731853</v>
      </c>
      <c r="J121" s="6">
        <f t="shared" si="18"/>
        <v>2.0647688744975849E-2</v>
      </c>
      <c r="K121" s="2">
        <f>(J121*$N$3)/$N$2</f>
        <v>7.0905354090755435E-2</v>
      </c>
    </row>
    <row r="122" spans="1:11" x14ac:dyDescent="0.3">
      <c r="A122" t="s">
        <v>11</v>
      </c>
      <c r="B122">
        <v>7</v>
      </c>
      <c r="C122">
        <v>3</v>
      </c>
      <c r="D122">
        <v>5978837.2832031297</v>
      </c>
      <c r="E122">
        <v>75701.8681640625</v>
      </c>
      <c r="F122">
        <v>1741.74</v>
      </c>
      <c r="G122" t="s">
        <v>6</v>
      </c>
      <c r="H122">
        <v>60</v>
      </c>
      <c r="I122">
        <f t="shared" si="18"/>
        <v>0.99999949823044976</v>
      </c>
      <c r="J122" s="6">
        <f t="shared" si="18"/>
        <v>1.2503324575408526E-2</v>
      </c>
      <c r="K122" s="2">
        <f>(J122*$N$3)/$N$2</f>
        <v>4.293713777270633E-2</v>
      </c>
    </row>
    <row r="123" spans="1:11" x14ac:dyDescent="0.3">
      <c r="A123" t="s">
        <v>11</v>
      </c>
      <c r="B123">
        <v>7</v>
      </c>
      <c r="C123">
        <v>5</v>
      </c>
      <c r="D123">
        <v>8123040.82421875</v>
      </c>
      <c r="E123">
        <v>119337.650390625</v>
      </c>
      <c r="F123">
        <v>1756.55</v>
      </c>
      <c r="G123" t="s">
        <v>6</v>
      </c>
      <c r="H123">
        <v>60</v>
      </c>
      <c r="I123">
        <f t="shared" si="18"/>
        <v>0.99999938446734038</v>
      </c>
      <c r="J123" s="6">
        <f t="shared" si="18"/>
        <v>1.4478545332302358E-2</v>
      </c>
      <c r="K123" s="2">
        <f>(J123*$N$3)/$N$2</f>
        <v>4.9720159780874011E-2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1770.97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1785.16</v>
      </c>
    </row>
    <row r="126" spans="1:11" x14ac:dyDescent="0.3">
      <c r="A126" t="s">
        <v>11</v>
      </c>
      <c r="B126">
        <v>2001</v>
      </c>
      <c r="C126">
        <v>2</v>
      </c>
      <c r="D126">
        <v>0</v>
      </c>
      <c r="E126">
        <v>0</v>
      </c>
      <c r="F126">
        <v>1799.48</v>
      </c>
    </row>
    <row r="127" spans="1:11" x14ac:dyDescent="0.3">
      <c r="A127" t="s">
        <v>11</v>
      </c>
      <c r="B127">
        <v>2001</v>
      </c>
      <c r="C127">
        <v>3</v>
      </c>
      <c r="D127">
        <v>0</v>
      </c>
      <c r="E127">
        <v>0</v>
      </c>
      <c r="F127">
        <v>1813.76</v>
      </c>
    </row>
    <row r="128" spans="1:11" x14ac:dyDescent="0.3">
      <c r="A128" t="s">
        <v>11</v>
      </c>
      <c r="B128">
        <v>7</v>
      </c>
      <c r="C128">
        <v>7</v>
      </c>
      <c r="D128">
        <v>12442011.9765625</v>
      </c>
      <c r="E128">
        <v>0</v>
      </c>
      <c r="F128">
        <v>1828.68</v>
      </c>
      <c r="G128" t="s">
        <v>7</v>
      </c>
      <c r="H128">
        <v>60</v>
      </c>
      <c r="I128">
        <f t="shared" ref="I128:J130" si="19">D128/(C128+D128)</f>
        <v>0.99999943739034536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11</v>
      </c>
      <c r="B129">
        <v>7</v>
      </c>
      <c r="C129">
        <v>9</v>
      </c>
      <c r="D129">
        <v>8883606.5234375</v>
      </c>
      <c r="E129">
        <v>0</v>
      </c>
      <c r="F129">
        <v>1843.38</v>
      </c>
      <c r="G129" t="s">
        <v>7</v>
      </c>
      <c r="H129">
        <v>60</v>
      </c>
      <c r="I129">
        <f t="shared" si="19"/>
        <v>0.99999898689897415</v>
      </c>
      <c r="J129" s="6">
        <f t="shared" si="19"/>
        <v>0</v>
      </c>
      <c r="K129" s="2">
        <f>(J129*$N$3)/$N$2</f>
        <v>0</v>
      </c>
    </row>
    <row r="130" spans="1:11" x14ac:dyDescent="0.3">
      <c r="A130" t="s">
        <v>11</v>
      </c>
      <c r="B130">
        <v>7</v>
      </c>
      <c r="C130">
        <v>11</v>
      </c>
      <c r="D130">
        <v>7027633.6987304697</v>
      </c>
      <c r="E130">
        <v>0</v>
      </c>
      <c r="F130">
        <v>1858.08</v>
      </c>
      <c r="G130" t="s">
        <v>7</v>
      </c>
      <c r="H130">
        <v>60</v>
      </c>
      <c r="I130">
        <f t="shared" si="19"/>
        <v>0.9999984347529689</v>
      </c>
      <c r="J130" s="6">
        <f t="shared" si="19"/>
        <v>0</v>
      </c>
      <c r="K130" s="2">
        <f>(J130*$N$3)/$N$2</f>
        <v>0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1872.52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1886.71</v>
      </c>
    </row>
    <row r="133" spans="1:11" x14ac:dyDescent="0.3">
      <c r="A133" t="s">
        <v>11</v>
      </c>
      <c r="B133">
        <v>2001</v>
      </c>
      <c r="C133">
        <v>2</v>
      </c>
      <c r="D133">
        <v>0</v>
      </c>
      <c r="E133">
        <v>0</v>
      </c>
      <c r="F133">
        <v>1901.04</v>
      </c>
    </row>
    <row r="134" spans="1:11" x14ac:dyDescent="0.3">
      <c r="A134" t="s">
        <v>11</v>
      </c>
      <c r="B134">
        <v>2001</v>
      </c>
      <c r="C134">
        <v>3</v>
      </c>
      <c r="D134">
        <v>0</v>
      </c>
      <c r="E134">
        <v>0</v>
      </c>
      <c r="F134">
        <v>1915.24</v>
      </c>
    </row>
    <row r="135" spans="1:11" x14ac:dyDescent="0.3">
      <c r="A135" t="s">
        <v>11</v>
      </c>
      <c r="B135">
        <v>6</v>
      </c>
      <c r="C135">
        <v>1</v>
      </c>
      <c r="D135">
        <v>12107.259277343799</v>
      </c>
      <c r="E135">
        <v>0</v>
      </c>
      <c r="F135">
        <v>1930.2</v>
      </c>
      <c r="G135" t="s">
        <v>6</v>
      </c>
      <c r="H135">
        <v>300</v>
      </c>
      <c r="I135">
        <f t="shared" ref="I135:J137" si="20">D135/(C135+D135)</f>
        <v>0.99991741174539672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11</v>
      </c>
      <c r="B136">
        <v>6</v>
      </c>
      <c r="C136">
        <v>3</v>
      </c>
      <c r="D136">
        <v>0</v>
      </c>
      <c r="E136">
        <v>0</v>
      </c>
      <c r="F136">
        <v>1945.04</v>
      </c>
      <c r="G136" t="s">
        <v>6</v>
      </c>
      <c r="H136">
        <v>300</v>
      </c>
      <c r="I136">
        <f t="shared" si="20"/>
        <v>0</v>
      </c>
      <c r="J136" s="6" t="e">
        <f t="shared" si="20"/>
        <v>#DIV/0!</v>
      </c>
      <c r="K136" s="2" t="e">
        <f>(J136*$N$3)/$N$2</f>
        <v>#DIV/0!</v>
      </c>
    </row>
    <row r="137" spans="1:11" x14ac:dyDescent="0.3">
      <c r="A137" t="s">
        <v>11</v>
      </c>
      <c r="B137">
        <v>6</v>
      </c>
      <c r="C137">
        <v>5</v>
      </c>
      <c r="D137">
        <v>0</v>
      </c>
      <c r="E137">
        <v>0</v>
      </c>
      <c r="F137">
        <v>1960.04</v>
      </c>
      <c r="G137" t="s">
        <v>6</v>
      </c>
      <c r="H137">
        <v>300</v>
      </c>
      <c r="I137">
        <f t="shared" si="20"/>
        <v>0</v>
      </c>
      <c r="J137" s="6" t="e">
        <f t="shared" si="20"/>
        <v>#DIV/0!</v>
      </c>
      <c r="K137" s="2" t="e">
        <f>(J137*$N$3)/$N$2</f>
        <v>#DIV/0!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1974.37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1988.58</v>
      </c>
    </row>
    <row r="140" spans="1:11" x14ac:dyDescent="0.3">
      <c r="A140" t="s">
        <v>11</v>
      </c>
      <c r="B140">
        <v>2001</v>
      </c>
      <c r="C140">
        <v>2</v>
      </c>
      <c r="D140">
        <v>0</v>
      </c>
      <c r="E140">
        <v>0</v>
      </c>
      <c r="F140">
        <v>2002.99</v>
      </c>
    </row>
    <row r="141" spans="1:11" x14ac:dyDescent="0.3">
      <c r="A141" t="s">
        <v>11</v>
      </c>
      <c r="B141">
        <v>2001</v>
      </c>
      <c r="C141">
        <v>3</v>
      </c>
      <c r="D141">
        <v>0</v>
      </c>
      <c r="E141">
        <v>0</v>
      </c>
      <c r="F141">
        <v>2017.2</v>
      </c>
    </row>
    <row r="142" spans="1:11" x14ac:dyDescent="0.3">
      <c r="A142" t="s">
        <v>11</v>
      </c>
      <c r="B142">
        <v>6</v>
      </c>
      <c r="C142">
        <v>7</v>
      </c>
      <c r="D142">
        <v>0</v>
      </c>
      <c r="E142">
        <v>0</v>
      </c>
      <c r="F142">
        <v>2032.15</v>
      </c>
      <c r="G142" t="s">
        <v>7</v>
      </c>
      <c r="H142">
        <v>300</v>
      </c>
      <c r="I142">
        <f t="shared" ref="I142:J144" si="21">D142/(C142+D142)</f>
        <v>0</v>
      </c>
      <c r="J142" s="6" t="e">
        <f t="shared" si="21"/>
        <v>#DIV/0!</v>
      </c>
      <c r="K142" s="2" t="e">
        <f>(J142*$N$3)/$N$2</f>
        <v>#DIV/0!</v>
      </c>
    </row>
    <row r="143" spans="1:11" x14ac:dyDescent="0.3">
      <c r="A143" t="s">
        <v>11</v>
      </c>
      <c r="B143">
        <v>6</v>
      </c>
      <c r="C143">
        <v>9</v>
      </c>
      <c r="D143">
        <v>0</v>
      </c>
      <c r="E143">
        <v>0</v>
      </c>
      <c r="F143">
        <v>2046.86</v>
      </c>
      <c r="G143" t="s">
        <v>7</v>
      </c>
      <c r="H143">
        <v>300</v>
      </c>
      <c r="I143">
        <f t="shared" si="21"/>
        <v>0</v>
      </c>
      <c r="J143" s="6" t="e">
        <f t="shared" si="21"/>
        <v>#DIV/0!</v>
      </c>
      <c r="K143" s="2" t="e">
        <f>(J143*$N$3)/$N$2</f>
        <v>#DIV/0!</v>
      </c>
    </row>
    <row r="144" spans="1:11" x14ac:dyDescent="0.3">
      <c r="A144" t="s">
        <v>11</v>
      </c>
      <c r="B144">
        <v>6</v>
      </c>
      <c r="C144">
        <v>11</v>
      </c>
      <c r="D144">
        <v>0</v>
      </c>
      <c r="E144">
        <v>0</v>
      </c>
      <c r="F144">
        <v>2061.59</v>
      </c>
      <c r="G144" t="s">
        <v>7</v>
      </c>
      <c r="H144">
        <v>300</v>
      </c>
      <c r="I144">
        <f t="shared" si="21"/>
        <v>0</v>
      </c>
      <c r="J144" s="6" t="e">
        <f t="shared" si="21"/>
        <v>#DIV/0!</v>
      </c>
      <c r="K144" s="2" t="e">
        <f>(J144*$N$3)/$N$2</f>
        <v>#DIV/0!</v>
      </c>
    </row>
    <row r="145" spans="1:6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2075.9299999999998</v>
      </c>
    </row>
    <row r="146" spans="1:6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2090.0700000000002</v>
      </c>
    </row>
    <row r="147" spans="1:6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2104.52</v>
      </c>
    </row>
    <row r="148" spans="1:6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2118.46</v>
      </c>
    </row>
    <row r="149" spans="1:6" x14ac:dyDescent="0.3">
      <c r="A149" t="s">
        <v>11</v>
      </c>
      <c r="B149">
        <v>2001</v>
      </c>
      <c r="C149">
        <v>2</v>
      </c>
      <c r="D149">
        <v>0</v>
      </c>
      <c r="E149">
        <v>0</v>
      </c>
      <c r="F149">
        <v>2132.87</v>
      </c>
    </row>
    <row r="150" spans="1:6" x14ac:dyDescent="0.3">
      <c r="A150" t="s">
        <v>11</v>
      </c>
      <c r="B150">
        <v>2001</v>
      </c>
      <c r="C150">
        <v>3</v>
      </c>
      <c r="D150">
        <v>0</v>
      </c>
      <c r="E150">
        <v>0</v>
      </c>
      <c r="F150">
        <v>2147.12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1CC1-782E-4DD2-BD66-14077018E9BE}">
  <dimension ref="A1:S148"/>
  <sheetViews>
    <sheetView topLeftCell="O1" workbookViewId="0">
      <selection activeCell="R9" sqref="R9:S19"/>
    </sheetView>
  </sheetViews>
  <sheetFormatPr defaultRowHeight="14.4" x14ac:dyDescent="0.3"/>
  <cols>
    <col min="10" max="10" width="8.88671875" style="6"/>
    <col min="14" max="15" width="9.33203125" bestFit="1" customWidth="1"/>
    <col min="19" max="19" width="9.33203125" bestFit="1" customWidth="1"/>
  </cols>
  <sheetData>
    <row r="1" spans="1:19" x14ac:dyDescent="0.3">
      <c r="A1" t="s">
        <v>12</v>
      </c>
    </row>
    <row r="2" spans="1:19" x14ac:dyDescent="0.3">
      <c r="A2" t="s">
        <v>0</v>
      </c>
      <c r="B2" t="s">
        <v>1</v>
      </c>
      <c r="C2" t="s">
        <v>2</v>
      </c>
      <c r="D2">
        <v>1442.73</v>
      </c>
      <c r="E2">
        <v>1474.73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>
        <v>2.6208062999999999E-3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5.49</v>
      </c>
      <c r="M3" t="s">
        <v>15</v>
      </c>
      <c r="N3" s="2">
        <v>8.9999999999999993E-3</v>
      </c>
      <c r="O3" s="2"/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19.78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34.090000000000003</v>
      </c>
    </row>
    <row r="6" spans="1:19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48.4</v>
      </c>
    </row>
    <row r="7" spans="1:19" ht="15.6" x14ac:dyDescent="0.3">
      <c r="A7" t="s">
        <v>11</v>
      </c>
      <c r="B7">
        <v>16</v>
      </c>
      <c r="C7">
        <v>14</v>
      </c>
      <c r="D7">
        <v>3511395.7988281301</v>
      </c>
      <c r="E7">
        <v>0</v>
      </c>
      <c r="F7">
        <v>63.24</v>
      </c>
      <c r="G7" t="s">
        <v>6</v>
      </c>
      <c r="H7">
        <v>0</v>
      </c>
      <c r="I7">
        <f t="shared" ref="I7:J9" si="0">D7/(C7+D7)</f>
        <v>0.99999601299739926</v>
      </c>
      <c r="J7" s="6">
        <f t="shared" si="0"/>
        <v>0</v>
      </c>
      <c r="K7" s="2">
        <f>(J7*$N$3)/$N$2</f>
        <v>0</v>
      </c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11</v>
      </c>
      <c r="B8">
        <v>16</v>
      </c>
      <c r="C8">
        <v>16</v>
      </c>
      <c r="D8">
        <v>3319217.1796875</v>
      </c>
      <c r="E8">
        <v>0</v>
      </c>
      <c r="F8">
        <v>78.099999999999994</v>
      </c>
      <c r="G8" t="s">
        <v>6</v>
      </c>
      <c r="H8">
        <v>0</v>
      </c>
      <c r="I8">
        <f t="shared" si="0"/>
        <v>0.99999517960952611</v>
      </c>
      <c r="J8" s="6">
        <f t="shared" si="0"/>
        <v>0</v>
      </c>
      <c r="K8" s="2">
        <f>(J8*$N$3)/$N$2</f>
        <v>0</v>
      </c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11</v>
      </c>
      <c r="B9">
        <v>16</v>
      </c>
      <c r="C9">
        <v>18</v>
      </c>
      <c r="D9">
        <v>3233791.73828125</v>
      </c>
      <c r="E9">
        <v>0</v>
      </c>
      <c r="F9">
        <v>93.08</v>
      </c>
      <c r="G9" t="s">
        <v>6</v>
      </c>
      <c r="H9">
        <v>0</v>
      </c>
      <c r="I9">
        <f t="shared" si="0"/>
        <v>0.99999443380982289</v>
      </c>
      <c r="J9" s="6">
        <f t="shared" si="0"/>
        <v>0</v>
      </c>
      <c r="K9" s="2">
        <f>(J9*$N$3)/$N$2</f>
        <v>0</v>
      </c>
      <c r="M9" s="3">
        <v>0</v>
      </c>
      <c r="N9" s="5">
        <f>AVERAGE(K7:K9)</f>
        <v>0</v>
      </c>
      <c r="O9" s="5">
        <f>STDEV(K7:K9)</f>
        <v>0</v>
      </c>
      <c r="Q9" s="3">
        <v>0</v>
      </c>
      <c r="R9" s="7">
        <f>AVERAGE(J7:J9)</f>
        <v>0</v>
      </c>
      <c r="S9" s="5">
        <f>STDEV(J7:J9)</f>
        <v>0</v>
      </c>
    </row>
    <row r="10" spans="1:19" ht="15.6" x14ac:dyDescent="0.3">
      <c r="A10" t="s">
        <v>11</v>
      </c>
      <c r="B10">
        <v>2001</v>
      </c>
      <c r="C10">
        <v>2</v>
      </c>
      <c r="D10">
        <v>0</v>
      </c>
      <c r="E10">
        <v>0</v>
      </c>
      <c r="F10">
        <v>107.5</v>
      </c>
      <c r="M10" s="3">
        <v>0.5</v>
      </c>
      <c r="N10" s="5">
        <f>AVERAGE(K19:K21)</f>
        <v>6.6556048422473707E-3</v>
      </c>
      <c r="O10" s="5">
        <f>STDEV(K19:K21)</f>
        <v>3.3245518483059522E-3</v>
      </c>
      <c r="Q10" s="3">
        <v>0.5</v>
      </c>
      <c r="R10" s="7">
        <f>AVERAGE(J19:J21)</f>
        <v>1.9381167889858237E-3</v>
      </c>
      <c r="S10" s="5">
        <f>STDEV(J19:J21)</f>
        <v>9.6811182541298732E-4</v>
      </c>
    </row>
    <row r="11" spans="1:19" ht="15.6" x14ac:dyDescent="0.3">
      <c r="A11" t="s">
        <v>11</v>
      </c>
      <c r="B11">
        <v>2001</v>
      </c>
      <c r="C11">
        <v>3</v>
      </c>
      <c r="D11">
        <v>0</v>
      </c>
      <c r="E11">
        <v>0</v>
      </c>
      <c r="F11">
        <v>121.71</v>
      </c>
      <c r="M11" s="3">
        <v>1</v>
      </c>
      <c r="N11" s="5">
        <f>AVERAGE(K31:K33)</f>
        <v>8.6624492225849378E-2</v>
      </c>
      <c r="O11" s="5">
        <f>STDEV(K31:K33)</f>
        <v>1.9198201277038324E-3</v>
      </c>
      <c r="Q11" s="3">
        <v>1</v>
      </c>
      <c r="R11" s="7">
        <f>AVERAGE(J31:J33)</f>
        <v>2.5225112773311895E-2</v>
      </c>
      <c r="S11" s="5">
        <f>STDEV(J31:J33)</f>
        <v>5.5905296506144632E-4</v>
      </c>
    </row>
    <row r="12" spans="1:19" ht="15.6" x14ac:dyDescent="0.3">
      <c r="A12" t="s">
        <v>11</v>
      </c>
      <c r="B12">
        <v>16</v>
      </c>
      <c r="C12">
        <v>20</v>
      </c>
      <c r="D12">
        <v>4420891.7910156297</v>
      </c>
      <c r="E12">
        <v>0</v>
      </c>
      <c r="F12">
        <v>136.58000000000001</v>
      </c>
      <c r="G12" t="s">
        <v>7</v>
      </c>
      <c r="H12">
        <v>0</v>
      </c>
      <c r="I12">
        <f t="shared" ref="I12:J14" si="1">D12/(C12+D12)</f>
        <v>0.99999547604635752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AVERAGE(K43:K45)</f>
        <v>0.12341102123192231</v>
      </c>
      <c r="O12" s="5">
        <f>STDEV(K43:K45)</f>
        <v>9.637395089354862E-3</v>
      </c>
      <c r="Q12" s="3">
        <v>1.5</v>
      </c>
      <c r="R12" s="7">
        <f>AVERAGE(J43:J45)</f>
        <v>3.5937375770450641E-2</v>
      </c>
      <c r="S12" s="5">
        <f>STDEV(J43:J45)</f>
        <v>2.8064161961966982E-3</v>
      </c>
    </row>
    <row r="13" spans="1:19" ht="15.6" x14ac:dyDescent="0.3">
      <c r="A13" t="s">
        <v>11</v>
      </c>
      <c r="B13">
        <v>16</v>
      </c>
      <c r="C13">
        <v>22</v>
      </c>
      <c r="D13">
        <v>4800788.3798828097</v>
      </c>
      <c r="E13">
        <v>0</v>
      </c>
      <c r="F13">
        <v>151.54</v>
      </c>
      <c r="G13" t="s">
        <v>7</v>
      </c>
      <c r="H13">
        <v>0</v>
      </c>
      <c r="I13">
        <f t="shared" si="1"/>
        <v>0.99999541744033627</v>
      </c>
      <c r="J13" s="6">
        <f t="shared" si="1"/>
        <v>0</v>
      </c>
      <c r="K13" s="2">
        <f>(J13*$N$3)/$N$2</f>
        <v>0</v>
      </c>
      <c r="M13" s="3">
        <v>3</v>
      </c>
      <c r="N13" s="5">
        <f>AVERAGE(K55:K57)</f>
        <v>0.24203714321519432</v>
      </c>
      <c r="O13" s="5">
        <f>STDEV(K55:K57)</f>
        <v>2.3497310646860614E-2</v>
      </c>
      <c r="Q13" s="3">
        <v>3</v>
      </c>
      <c r="R13" s="7">
        <f>AVERAGE(J55:J57)</f>
        <v>7.048138553026484E-2</v>
      </c>
      <c r="S13" s="5">
        <f>STDEV(J55:J57)</f>
        <v>6.8424333084832669E-3</v>
      </c>
    </row>
    <row r="14" spans="1:19" ht="15.6" x14ac:dyDescent="0.3">
      <c r="A14" t="s">
        <v>11</v>
      </c>
      <c r="B14">
        <v>16</v>
      </c>
      <c r="C14">
        <v>24</v>
      </c>
      <c r="D14">
        <v>4121004.3515625</v>
      </c>
      <c r="E14">
        <v>0</v>
      </c>
      <c r="F14">
        <v>166.37</v>
      </c>
      <c r="G14" t="s">
        <v>7</v>
      </c>
      <c r="H14">
        <v>0</v>
      </c>
      <c r="I14">
        <f t="shared" si="1"/>
        <v>0.9999941762108987</v>
      </c>
      <c r="J14" s="6">
        <f t="shared" si="1"/>
        <v>0</v>
      </c>
      <c r="K14" s="2">
        <f>(J14*$N$3)/$N$2</f>
        <v>0</v>
      </c>
      <c r="M14" s="3">
        <v>5</v>
      </c>
      <c r="N14" s="5">
        <f>AVERAGE(K67:K69)</f>
        <v>0.37279101131505565</v>
      </c>
      <c r="O14" s="5">
        <f>STDEV(K67:K69)</f>
        <v>2.9758391243923685E-2</v>
      </c>
      <c r="Q14" s="3">
        <v>5</v>
      </c>
      <c r="R14" s="7">
        <f>AVERAGE(J67:J69)</f>
        <v>0.10855700344865214</v>
      </c>
      <c r="S14" s="5">
        <f>STDEV(J67:J69)</f>
        <v>8.6656643611044554E-3</v>
      </c>
    </row>
    <row r="15" spans="1:19" ht="15.6" x14ac:dyDescent="0.3">
      <c r="A15" t="s">
        <v>11</v>
      </c>
      <c r="B15">
        <v>2001</v>
      </c>
      <c r="C15">
        <v>2</v>
      </c>
      <c r="D15">
        <v>0</v>
      </c>
      <c r="E15">
        <v>0</v>
      </c>
      <c r="F15">
        <v>180.8</v>
      </c>
      <c r="M15" s="3">
        <v>10</v>
      </c>
      <c r="N15" s="5">
        <f>AVERAGE(K79:K81)</f>
        <v>0.59303136735290785</v>
      </c>
      <c r="O15" s="5">
        <f>STDEV(K79:K81)</f>
        <v>4.1750010074188146E-2</v>
      </c>
      <c r="Q15" s="3">
        <v>10</v>
      </c>
      <c r="R15" s="7">
        <f>AVERAGE(J79:J81)</f>
        <v>0.17269114929512394</v>
      </c>
      <c r="S15" s="5">
        <f>STDEV(J79:J81)</f>
        <v>1.2157632158610649E-2</v>
      </c>
    </row>
    <row r="16" spans="1:19" ht="15.6" x14ac:dyDescent="0.3">
      <c r="A16" t="s">
        <v>11</v>
      </c>
      <c r="B16">
        <v>2001</v>
      </c>
      <c r="C16">
        <v>3</v>
      </c>
      <c r="D16">
        <v>0</v>
      </c>
      <c r="E16">
        <v>0</v>
      </c>
      <c r="F16">
        <v>194.98</v>
      </c>
      <c r="M16" s="3">
        <v>20</v>
      </c>
      <c r="N16" s="5">
        <f>AVERAGE(K91:K93)</f>
        <v>1.075879483537225</v>
      </c>
      <c r="O16" s="5">
        <f>STDEV(K91:K93)</f>
        <v>6.6507885768155944E-2</v>
      </c>
      <c r="Q16" s="3">
        <v>20</v>
      </c>
      <c r="R16" s="7">
        <f>AVERAGE(J91:J93)</f>
        <v>0.3132968587216784</v>
      </c>
      <c r="S16" s="5">
        <f>STDEV(J91:J93)</f>
        <v>1.9367142891207018E-2</v>
      </c>
    </row>
    <row r="17" spans="1:19" ht="15.6" x14ac:dyDescent="0.3">
      <c r="A17" t="s">
        <v>11</v>
      </c>
      <c r="B17">
        <v>2001</v>
      </c>
      <c r="C17">
        <v>2</v>
      </c>
      <c r="D17">
        <v>0</v>
      </c>
      <c r="E17">
        <v>0</v>
      </c>
      <c r="F17">
        <v>209.44</v>
      </c>
      <c r="M17" s="3">
        <v>40</v>
      </c>
      <c r="N17" s="5">
        <f>AVERAGE(K103:K105)</f>
        <v>1.7584770243367218</v>
      </c>
      <c r="O17" s="5">
        <f>STDEV(K105:K107)</f>
        <v>9.6586709565055856E-2</v>
      </c>
      <c r="Q17" s="3">
        <v>40</v>
      </c>
      <c r="R17" s="7">
        <f>AVERAGE(J103:J105)</f>
        <v>0.51206974042077047</v>
      </c>
      <c r="S17" s="5">
        <f>STDEV(J105:J107)</f>
        <v>2.8126117436040942E-2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223.62</v>
      </c>
      <c r="M18" s="3">
        <v>60</v>
      </c>
      <c r="N18" s="5">
        <f>AVERAGE(K119:K121)</f>
        <v>2.4676293436266961</v>
      </c>
      <c r="O18" s="5">
        <f>STDEV(K119:K121)</f>
        <v>0.12165771903041152</v>
      </c>
      <c r="Q18" s="3">
        <v>60</v>
      </c>
      <c r="R18" s="7">
        <f>AVERAGE(J119:J121)</f>
        <v>0.7185753922046344</v>
      </c>
      <c r="S18" s="5">
        <f>STDEV(J119:J121)</f>
        <v>3.5426812942059197E-2</v>
      </c>
    </row>
    <row r="19" spans="1:19" ht="15.6" x14ac:dyDescent="0.3">
      <c r="A19" t="s">
        <v>11</v>
      </c>
      <c r="B19">
        <v>15</v>
      </c>
      <c r="C19">
        <v>14</v>
      </c>
      <c r="D19">
        <v>14093004.6210938</v>
      </c>
      <c r="E19">
        <v>11946.746582031299</v>
      </c>
      <c r="F19">
        <v>238.47</v>
      </c>
      <c r="G19" t="s">
        <v>6</v>
      </c>
      <c r="H19">
        <v>0.5</v>
      </c>
      <c r="I19">
        <f t="shared" ref="I19:J21" si="2">D19/(C19+D19)</f>
        <v>0.99999900660033336</v>
      </c>
      <c r="J19" s="6">
        <f t="shared" si="2"/>
        <v>8.4698956207743703E-4</v>
      </c>
      <c r="K19" s="2">
        <f>(J19*$N$3)/$N$2</f>
        <v>2.9086110097861612E-3</v>
      </c>
      <c r="M19" s="3">
        <v>300</v>
      </c>
      <c r="N19" s="5">
        <f>AVERAGE(K133:K135)</f>
        <v>3.3708197217935907</v>
      </c>
      <c r="O19" s="5">
        <f>STDEV(K133:K135)</f>
        <v>9.0236324040293518E-3</v>
      </c>
      <c r="Q19" s="3">
        <v>300</v>
      </c>
      <c r="R19" s="7">
        <f>AVERAGE(J133:J134)</f>
        <v>0.98307924314241868</v>
      </c>
      <c r="S19" s="5">
        <f>STDEV(J133:J135)</f>
        <v>2.6276880725960693E-3</v>
      </c>
    </row>
    <row r="20" spans="1:19" x14ac:dyDescent="0.3">
      <c r="A20" t="s">
        <v>11</v>
      </c>
      <c r="B20">
        <v>15</v>
      </c>
      <c r="C20">
        <v>16</v>
      </c>
      <c r="D20">
        <v>16517607.9492188</v>
      </c>
      <c r="E20">
        <v>44622.079589843801</v>
      </c>
      <c r="F20">
        <v>253.42</v>
      </c>
      <c r="G20" t="s">
        <v>6</v>
      </c>
      <c r="H20">
        <v>0.5</v>
      </c>
      <c r="I20">
        <f t="shared" si="2"/>
        <v>0.99999903133767609</v>
      </c>
      <c r="J20" s="6">
        <f t="shared" si="2"/>
        <v>2.6942072119652575E-3</v>
      </c>
      <c r="K20" s="2">
        <f>(J20*$N$3)/$N$2</f>
        <v>9.2520629653886736E-3</v>
      </c>
    </row>
    <row r="21" spans="1:19" x14ac:dyDescent="0.3">
      <c r="A21" t="s">
        <v>11</v>
      </c>
      <c r="B21">
        <v>15</v>
      </c>
      <c r="C21">
        <v>18</v>
      </c>
      <c r="D21">
        <v>16375964.025390601</v>
      </c>
      <c r="E21">
        <v>37309.892578125</v>
      </c>
      <c r="F21">
        <v>268.33999999999997</v>
      </c>
      <c r="G21" t="s">
        <v>6</v>
      </c>
      <c r="H21">
        <v>0.5</v>
      </c>
      <c r="I21">
        <f t="shared" si="2"/>
        <v>0.99999890082927712</v>
      </c>
      <c r="J21" s="6">
        <f t="shared" si="2"/>
        <v>2.2731535929147767E-3</v>
      </c>
      <c r="K21" s="2">
        <f>(J21*$N$3)/$N$2</f>
        <v>7.806140551567275E-3</v>
      </c>
    </row>
    <row r="22" spans="1:19" x14ac:dyDescent="0.3">
      <c r="A22" t="s">
        <v>11</v>
      </c>
      <c r="B22">
        <v>2001</v>
      </c>
      <c r="C22">
        <v>2</v>
      </c>
      <c r="D22">
        <v>51982.952636718801</v>
      </c>
      <c r="E22">
        <v>0</v>
      </c>
      <c r="F22">
        <v>282.77999999999997</v>
      </c>
    </row>
    <row r="23" spans="1:19" x14ac:dyDescent="0.3">
      <c r="A23" t="s">
        <v>11</v>
      </c>
      <c r="B23">
        <v>2001</v>
      </c>
      <c r="C23">
        <v>3</v>
      </c>
      <c r="D23">
        <v>0</v>
      </c>
      <c r="E23">
        <v>0</v>
      </c>
      <c r="F23">
        <v>296.95999999999998</v>
      </c>
    </row>
    <row r="24" spans="1:19" x14ac:dyDescent="0.3">
      <c r="A24" t="s">
        <v>11</v>
      </c>
      <c r="B24">
        <v>15</v>
      </c>
      <c r="C24">
        <v>20</v>
      </c>
      <c r="D24">
        <v>20109088.275390599</v>
      </c>
      <c r="E24">
        <v>0</v>
      </c>
      <c r="F24">
        <v>311.8</v>
      </c>
      <c r="G24" t="s">
        <v>7</v>
      </c>
      <c r="H24">
        <v>0.5</v>
      </c>
      <c r="I24">
        <f t="shared" ref="I24:J26" si="3">D24/(C24+D24)</f>
        <v>0.99999900542581366</v>
      </c>
      <c r="J24" s="6">
        <f t="shared" si="3"/>
        <v>0</v>
      </c>
      <c r="K24" s="2">
        <f>(J24*$N$3)/$N$2</f>
        <v>0</v>
      </c>
    </row>
    <row r="25" spans="1:19" x14ac:dyDescent="0.3">
      <c r="A25" t="s">
        <v>11</v>
      </c>
      <c r="B25">
        <v>15</v>
      </c>
      <c r="C25">
        <v>22</v>
      </c>
      <c r="D25">
        <v>18285051.418457001</v>
      </c>
      <c r="E25">
        <v>0</v>
      </c>
      <c r="F25">
        <v>326.73</v>
      </c>
      <c r="G25" t="s">
        <v>7</v>
      </c>
      <c r="H25">
        <v>0.5</v>
      </c>
      <c r="I25">
        <f t="shared" si="3"/>
        <v>0.9999987968328321</v>
      </c>
      <c r="J25" s="6">
        <f t="shared" si="3"/>
        <v>0</v>
      </c>
      <c r="K25" s="2">
        <f>(J25*$N$3)/$N$2</f>
        <v>0</v>
      </c>
    </row>
    <row r="26" spans="1:19" x14ac:dyDescent="0.3">
      <c r="A26" t="s">
        <v>11</v>
      </c>
      <c r="B26">
        <v>15</v>
      </c>
      <c r="C26">
        <v>24</v>
      </c>
      <c r="D26">
        <v>19830796.5942383</v>
      </c>
      <c r="E26">
        <v>0</v>
      </c>
      <c r="F26">
        <v>341.67</v>
      </c>
      <c r="G26" t="s">
        <v>7</v>
      </c>
      <c r="H26">
        <v>0.5</v>
      </c>
      <c r="I26">
        <f t="shared" si="3"/>
        <v>0.99999878976263812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11</v>
      </c>
      <c r="B27">
        <v>2001</v>
      </c>
      <c r="C27">
        <v>2</v>
      </c>
      <c r="D27">
        <v>73736.578125</v>
      </c>
      <c r="E27">
        <v>0</v>
      </c>
      <c r="F27">
        <v>356.1</v>
      </c>
    </row>
    <row r="28" spans="1:19" x14ac:dyDescent="0.3">
      <c r="A28" t="s">
        <v>11</v>
      </c>
      <c r="B28">
        <v>2001</v>
      </c>
      <c r="C28">
        <v>3</v>
      </c>
      <c r="D28">
        <v>0</v>
      </c>
      <c r="E28">
        <v>0</v>
      </c>
      <c r="F28">
        <v>370.29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384.58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398.88</v>
      </c>
    </row>
    <row r="31" spans="1:19" x14ac:dyDescent="0.3">
      <c r="A31" t="s">
        <v>11</v>
      </c>
      <c r="B31">
        <v>14</v>
      </c>
      <c r="C31">
        <v>14</v>
      </c>
      <c r="D31">
        <v>5218565.2871093797</v>
      </c>
      <c r="E31">
        <v>132110.96484375</v>
      </c>
      <c r="F31">
        <v>413.77</v>
      </c>
      <c r="G31" t="s">
        <v>6</v>
      </c>
      <c r="H31">
        <v>1</v>
      </c>
      <c r="I31">
        <f t="shared" ref="I31:J33" si="4">D31/(C31+D31)</f>
        <v>0.99999731727751373</v>
      </c>
      <c r="J31" s="6">
        <f t="shared" si="4"/>
        <v>2.4690517351993818E-2</v>
      </c>
      <c r="K31" s="2">
        <f>(J31*$N$3)/$N$2</f>
        <v>8.4788660714049849E-2</v>
      </c>
    </row>
    <row r="32" spans="1:19" x14ac:dyDescent="0.3">
      <c r="A32" t="s">
        <v>11</v>
      </c>
      <c r="B32">
        <v>14</v>
      </c>
      <c r="C32">
        <v>16</v>
      </c>
      <c r="D32">
        <v>9122386.8564453106</v>
      </c>
      <c r="E32">
        <v>235625.8515625</v>
      </c>
      <c r="F32">
        <v>428.61</v>
      </c>
      <c r="G32" t="s">
        <v>6</v>
      </c>
      <c r="H32">
        <v>1</v>
      </c>
      <c r="I32">
        <f t="shared" si="4"/>
        <v>0.99999824607614329</v>
      </c>
      <c r="J32" s="6">
        <f t="shared" si="4"/>
        <v>2.5179048043060568E-2</v>
      </c>
      <c r="K32" s="2">
        <f>(J32*$N$3)/$N$2</f>
        <v>8.6466303285193225E-2</v>
      </c>
    </row>
    <row r="33" spans="1:11" x14ac:dyDescent="0.3">
      <c r="A33" t="s">
        <v>11</v>
      </c>
      <c r="B33">
        <v>14</v>
      </c>
      <c r="C33">
        <v>18</v>
      </c>
      <c r="D33">
        <v>8917996.8315429706</v>
      </c>
      <c r="E33">
        <v>236231.94921875</v>
      </c>
      <c r="F33">
        <v>443.45</v>
      </c>
      <c r="G33" t="s">
        <v>6</v>
      </c>
      <c r="H33">
        <v>1</v>
      </c>
      <c r="I33">
        <f t="shared" si="4"/>
        <v>0.99999798161358333</v>
      </c>
      <c r="J33" s="6">
        <f t="shared" si="4"/>
        <v>2.5805772924881305E-2</v>
      </c>
      <c r="K33" s="2">
        <f>(J33*$N$3)/$N$2</f>
        <v>8.8618512678305034E-2</v>
      </c>
    </row>
    <row r="34" spans="1:11" x14ac:dyDescent="0.3">
      <c r="A34" t="s">
        <v>11</v>
      </c>
      <c r="B34">
        <v>2001</v>
      </c>
      <c r="C34">
        <v>2</v>
      </c>
      <c r="D34">
        <v>0</v>
      </c>
      <c r="E34">
        <v>0</v>
      </c>
      <c r="F34">
        <v>457.99</v>
      </c>
    </row>
    <row r="35" spans="1:11" x14ac:dyDescent="0.3">
      <c r="A35" t="s">
        <v>11</v>
      </c>
      <c r="B35">
        <v>2001</v>
      </c>
      <c r="C35">
        <v>3</v>
      </c>
      <c r="D35">
        <v>0</v>
      </c>
      <c r="E35">
        <v>0</v>
      </c>
      <c r="F35">
        <v>472.13</v>
      </c>
    </row>
    <row r="36" spans="1:11" x14ac:dyDescent="0.3">
      <c r="A36" t="s">
        <v>11</v>
      </c>
      <c r="B36">
        <v>14</v>
      </c>
      <c r="C36">
        <v>20</v>
      </c>
      <c r="D36">
        <v>14584146.075683599</v>
      </c>
      <c r="E36">
        <v>0</v>
      </c>
      <c r="F36">
        <v>487.11</v>
      </c>
      <c r="G36" t="s">
        <v>7</v>
      </c>
      <c r="H36">
        <v>1</v>
      </c>
      <c r="I36">
        <f t="shared" ref="I36:J38" si="5">D36/(C36+D36)</f>
        <v>0.99999862864973588</v>
      </c>
      <c r="J36" s="6">
        <f t="shared" si="5"/>
        <v>0</v>
      </c>
      <c r="K36" s="2">
        <f>(J36*$N$3)/$N$2</f>
        <v>0</v>
      </c>
    </row>
    <row r="37" spans="1:11" x14ac:dyDescent="0.3">
      <c r="A37" t="s">
        <v>11</v>
      </c>
      <c r="B37">
        <v>14</v>
      </c>
      <c r="C37">
        <v>22</v>
      </c>
      <c r="D37">
        <v>14414001.1328125</v>
      </c>
      <c r="E37">
        <v>0</v>
      </c>
      <c r="F37">
        <v>501.95</v>
      </c>
      <c r="G37" t="s">
        <v>7</v>
      </c>
      <c r="H37">
        <v>1</v>
      </c>
      <c r="I37">
        <f t="shared" si="5"/>
        <v>0.99999847370856854</v>
      </c>
      <c r="J37" s="6">
        <f t="shared" si="5"/>
        <v>0</v>
      </c>
      <c r="K37" s="2">
        <f>(J37*$N$3)/$N$2</f>
        <v>0</v>
      </c>
    </row>
    <row r="38" spans="1:11" x14ac:dyDescent="0.3">
      <c r="A38" t="s">
        <v>11</v>
      </c>
      <c r="B38">
        <v>14</v>
      </c>
      <c r="C38">
        <v>24</v>
      </c>
      <c r="D38">
        <v>13597060.666015601</v>
      </c>
      <c r="E38">
        <v>0</v>
      </c>
      <c r="F38">
        <v>516.85</v>
      </c>
      <c r="G38" t="s">
        <v>7</v>
      </c>
      <c r="H38">
        <v>1</v>
      </c>
      <c r="I38">
        <f t="shared" si="5"/>
        <v>0.99999823491574924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11</v>
      </c>
      <c r="B39">
        <v>2001</v>
      </c>
      <c r="C39">
        <v>2</v>
      </c>
      <c r="D39">
        <v>0</v>
      </c>
      <c r="E39">
        <v>0</v>
      </c>
      <c r="F39">
        <v>531.30999999999995</v>
      </c>
    </row>
    <row r="40" spans="1:11" x14ac:dyDescent="0.3">
      <c r="A40" t="s">
        <v>11</v>
      </c>
      <c r="B40">
        <v>2001</v>
      </c>
      <c r="C40">
        <v>3</v>
      </c>
      <c r="D40">
        <v>0</v>
      </c>
      <c r="E40">
        <v>0</v>
      </c>
      <c r="F40">
        <v>545.51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559.82000000000005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574</v>
      </c>
    </row>
    <row r="43" spans="1:11" x14ac:dyDescent="0.3">
      <c r="A43" t="s">
        <v>11</v>
      </c>
      <c r="B43">
        <v>13</v>
      </c>
      <c r="C43">
        <v>14</v>
      </c>
      <c r="D43">
        <v>4587526.20947266</v>
      </c>
      <c r="E43">
        <v>160216.880859375</v>
      </c>
      <c r="F43">
        <v>588.87</v>
      </c>
      <c r="G43" t="s">
        <v>6</v>
      </c>
      <c r="H43">
        <v>1.5</v>
      </c>
      <c r="I43">
        <f t="shared" ref="I43:J45" si="6">D43/(C43+D43)</f>
        <v>0.99999694825563135</v>
      </c>
      <c r="J43" s="6">
        <f t="shared" si="6"/>
        <v>3.3745903645382415E-2</v>
      </c>
      <c r="K43" s="2">
        <f>(J43*$N$3)/$N$2</f>
        <v>0.11588537955225524</v>
      </c>
    </row>
    <row r="44" spans="1:11" x14ac:dyDescent="0.3">
      <c r="A44" t="s">
        <v>11</v>
      </c>
      <c r="B44">
        <v>13</v>
      </c>
      <c r="C44">
        <v>16</v>
      </c>
      <c r="D44">
        <v>7975049.0268554697</v>
      </c>
      <c r="E44">
        <v>324517.11669921898</v>
      </c>
      <c r="F44">
        <v>603.84</v>
      </c>
      <c r="G44" t="s">
        <v>6</v>
      </c>
      <c r="H44">
        <v>1.5</v>
      </c>
      <c r="I44">
        <f t="shared" si="6"/>
        <v>0.99999799374676623</v>
      </c>
      <c r="J44" s="6">
        <f t="shared" si="6"/>
        <v>3.9100491650546555E-2</v>
      </c>
      <c r="K44" s="2">
        <f>(J44*$N$3)/$N$2</f>
        <v>0.13427334360991081</v>
      </c>
    </row>
    <row r="45" spans="1:11" x14ac:dyDescent="0.3">
      <c r="A45" t="s">
        <v>11</v>
      </c>
      <c r="B45">
        <v>13</v>
      </c>
      <c r="C45">
        <v>18</v>
      </c>
      <c r="D45">
        <v>9479594.4990234394</v>
      </c>
      <c r="E45">
        <v>343470.6640625</v>
      </c>
      <c r="F45">
        <v>618.70000000000005</v>
      </c>
      <c r="G45" t="s">
        <v>6</v>
      </c>
      <c r="H45">
        <v>1.5</v>
      </c>
      <c r="I45">
        <f t="shared" si="6"/>
        <v>0.99999810118820764</v>
      </c>
      <c r="J45" s="6">
        <f t="shared" si="6"/>
        <v>3.4965732015422961E-2</v>
      </c>
      <c r="K45" s="2">
        <f>(J45*$N$3)/$N$2</f>
        <v>0.12007434053360092</v>
      </c>
    </row>
    <row r="46" spans="1:11" x14ac:dyDescent="0.3">
      <c r="A46" t="s">
        <v>11</v>
      </c>
      <c r="B46">
        <v>2001</v>
      </c>
      <c r="C46">
        <v>2</v>
      </c>
      <c r="D46">
        <v>0</v>
      </c>
      <c r="E46">
        <v>0</v>
      </c>
      <c r="F46">
        <v>633.12</v>
      </c>
    </row>
    <row r="47" spans="1:11" x14ac:dyDescent="0.3">
      <c r="A47" t="s">
        <v>11</v>
      </c>
      <c r="B47">
        <v>2001</v>
      </c>
      <c r="C47">
        <v>3</v>
      </c>
      <c r="D47">
        <v>0</v>
      </c>
      <c r="E47">
        <v>0</v>
      </c>
      <c r="F47">
        <v>647.32000000000005</v>
      </c>
    </row>
    <row r="48" spans="1:11" x14ac:dyDescent="0.3">
      <c r="A48" t="s">
        <v>11</v>
      </c>
      <c r="B48">
        <v>13</v>
      </c>
      <c r="C48">
        <v>20</v>
      </c>
      <c r="D48">
        <v>13328277.4140625</v>
      </c>
      <c r="E48">
        <v>0</v>
      </c>
      <c r="F48">
        <v>662.27</v>
      </c>
      <c r="G48" t="s">
        <v>7</v>
      </c>
      <c r="H48">
        <v>1.5</v>
      </c>
      <c r="I48">
        <f t="shared" ref="I48:J50" si="7">D48/(C48+D48)</f>
        <v>0.99999849943324504</v>
      </c>
      <c r="J48" s="6">
        <f t="shared" si="7"/>
        <v>0</v>
      </c>
      <c r="K48" s="2">
        <f>(J48*$N$3)/$N$2</f>
        <v>0</v>
      </c>
    </row>
    <row r="49" spans="1:11" x14ac:dyDescent="0.3">
      <c r="A49" t="s">
        <v>11</v>
      </c>
      <c r="B49">
        <v>13</v>
      </c>
      <c r="C49">
        <v>22</v>
      </c>
      <c r="D49">
        <v>12038869.2734375</v>
      </c>
      <c r="E49">
        <v>0</v>
      </c>
      <c r="F49">
        <v>677.17</v>
      </c>
      <c r="G49" t="s">
        <v>7</v>
      </c>
      <c r="H49">
        <v>1.5</v>
      </c>
      <c r="I49">
        <f t="shared" si="7"/>
        <v>0.99999817258919443</v>
      </c>
      <c r="J49" s="6">
        <f t="shared" si="7"/>
        <v>0</v>
      </c>
      <c r="K49" s="2">
        <f>(J49*$N$3)/$N$2</f>
        <v>0</v>
      </c>
    </row>
    <row r="50" spans="1:11" x14ac:dyDescent="0.3">
      <c r="A50" t="s">
        <v>11</v>
      </c>
      <c r="B50">
        <v>13</v>
      </c>
      <c r="C50">
        <v>24</v>
      </c>
      <c r="D50">
        <v>12879576.229492201</v>
      </c>
      <c r="E50">
        <v>0</v>
      </c>
      <c r="F50">
        <v>692.1</v>
      </c>
      <c r="G50" t="s">
        <v>7</v>
      </c>
      <c r="H50">
        <v>1.5</v>
      </c>
      <c r="I50">
        <f t="shared" si="7"/>
        <v>0.99999813658812597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11</v>
      </c>
      <c r="B51">
        <v>2001</v>
      </c>
      <c r="C51">
        <v>2</v>
      </c>
      <c r="D51">
        <v>0</v>
      </c>
      <c r="E51">
        <v>0</v>
      </c>
      <c r="F51">
        <v>706.43</v>
      </c>
    </row>
    <row r="52" spans="1:11" x14ac:dyDescent="0.3">
      <c r="A52" t="s">
        <v>11</v>
      </c>
      <c r="B52">
        <v>2001</v>
      </c>
      <c r="C52">
        <v>3</v>
      </c>
      <c r="D52">
        <v>0</v>
      </c>
      <c r="E52">
        <v>0</v>
      </c>
      <c r="F52">
        <v>720.5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734.96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749.19</v>
      </c>
    </row>
    <row r="55" spans="1:11" x14ac:dyDescent="0.3">
      <c r="A55" t="s">
        <v>11</v>
      </c>
      <c r="B55">
        <v>12</v>
      </c>
      <c r="C55">
        <v>14</v>
      </c>
      <c r="D55">
        <v>7001631.9785156297</v>
      </c>
      <c r="E55">
        <v>474133.314453125</v>
      </c>
      <c r="F55">
        <v>764.04</v>
      </c>
      <c r="G55" t="s">
        <v>6</v>
      </c>
      <c r="H55">
        <v>3</v>
      </c>
      <c r="I55">
        <f t="shared" ref="I55:J57" si="8">D55/(C55+D55)</f>
        <v>0.99999800047016907</v>
      </c>
      <c r="J55" s="6">
        <f t="shared" si="8"/>
        <v>6.3422712708632742E-2</v>
      </c>
      <c r="K55" s="2">
        <f>(J55*$N$3)/$N$2</f>
        <v>0.21779725360767588</v>
      </c>
    </row>
    <row r="56" spans="1:11" x14ac:dyDescent="0.3">
      <c r="A56" t="s">
        <v>11</v>
      </c>
      <c r="B56">
        <v>12</v>
      </c>
      <c r="C56">
        <v>16</v>
      </c>
      <c r="D56">
        <v>6904775.703125</v>
      </c>
      <c r="E56">
        <v>576709.115234375</v>
      </c>
      <c r="F56">
        <v>778.99</v>
      </c>
      <c r="G56" t="s">
        <v>6</v>
      </c>
      <c r="H56">
        <v>3</v>
      </c>
      <c r="I56">
        <f t="shared" si="8"/>
        <v>0.999997682768621</v>
      </c>
      <c r="J56" s="6">
        <f t="shared" si="8"/>
        <v>7.7084847357993078E-2</v>
      </c>
      <c r="K56" s="2">
        <f>(J56*$N$3)/$N$2</f>
        <v>0.26471381201347755</v>
      </c>
    </row>
    <row r="57" spans="1:11" x14ac:dyDescent="0.3">
      <c r="A57" t="s">
        <v>11</v>
      </c>
      <c r="B57">
        <v>12</v>
      </c>
      <c r="C57">
        <v>18</v>
      </c>
      <c r="D57">
        <v>7390986.0800781297</v>
      </c>
      <c r="E57">
        <v>564322.51611328102</v>
      </c>
      <c r="F57">
        <v>793.94</v>
      </c>
      <c r="G57" t="s">
        <v>6</v>
      </c>
      <c r="H57">
        <v>3</v>
      </c>
      <c r="I57">
        <f t="shared" si="8"/>
        <v>0.99999756460694578</v>
      </c>
      <c r="J57" s="6">
        <f t="shared" si="8"/>
        <v>7.0936596524168699E-2</v>
      </c>
      <c r="K57" s="2">
        <f>(J57*$N$3)/$N$2</f>
        <v>0.24360036402442953</v>
      </c>
    </row>
    <row r="58" spans="1:11" x14ac:dyDescent="0.3">
      <c r="A58" t="s">
        <v>11</v>
      </c>
      <c r="B58">
        <v>2001</v>
      </c>
      <c r="C58">
        <v>2</v>
      </c>
      <c r="D58">
        <v>0</v>
      </c>
      <c r="E58">
        <v>0</v>
      </c>
      <c r="F58">
        <v>808.24</v>
      </c>
    </row>
    <row r="59" spans="1:11" x14ac:dyDescent="0.3">
      <c r="A59" t="s">
        <v>11</v>
      </c>
      <c r="B59">
        <v>2001</v>
      </c>
      <c r="C59">
        <v>3</v>
      </c>
      <c r="D59">
        <v>0</v>
      </c>
      <c r="E59">
        <v>0</v>
      </c>
      <c r="F59">
        <v>822.53</v>
      </c>
    </row>
    <row r="60" spans="1:11" x14ac:dyDescent="0.3">
      <c r="A60" t="s">
        <v>11</v>
      </c>
      <c r="B60">
        <v>12</v>
      </c>
      <c r="C60">
        <v>20</v>
      </c>
      <c r="D60">
        <v>14172952.2490234</v>
      </c>
      <c r="E60">
        <v>0</v>
      </c>
      <c r="F60">
        <v>837.35</v>
      </c>
      <c r="G60" t="s">
        <v>7</v>
      </c>
      <c r="H60">
        <v>3</v>
      </c>
      <c r="I60">
        <f t="shared" ref="I60:J62" si="9">D60/(C60+D60)</f>
        <v>0.99999858886339088</v>
      </c>
      <c r="J60" s="6">
        <f t="shared" si="9"/>
        <v>0</v>
      </c>
      <c r="K60" s="2">
        <f>(J60*$N$3)/$N$2</f>
        <v>0</v>
      </c>
    </row>
    <row r="61" spans="1:11" x14ac:dyDescent="0.3">
      <c r="A61" t="s">
        <v>11</v>
      </c>
      <c r="B61">
        <v>12</v>
      </c>
      <c r="C61">
        <v>22</v>
      </c>
      <c r="D61">
        <v>13605940.2226563</v>
      </c>
      <c r="E61">
        <v>0</v>
      </c>
      <c r="F61">
        <v>852.32</v>
      </c>
      <c r="G61" t="s">
        <v>7</v>
      </c>
      <c r="H61">
        <v>3</v>
      </c>
      <c r="I61">
        <f t="shared" si="9"/>
        <v>0.99999838306180477</v>
      </c>
      <c r="J61" s="6">
        <f t="shared" si="9"/>
        <v>0</v>
      </c>
      <c r="K61" s="2">
        <f>(J61*$N$3)/$N$2</f>
        <v>0</v>
      </c>
    </row>
    <row r="62" spans="1:11" x14ac:dyDescent="0.3">
      <c r="A62" t="s">
        <v>11</v>
      </c>
      <c r="B62">
        <v>12</v>
      </c>
      <c r="C62">
        <v>24</v>
      </c>
      <c r="D62">
        <v>12509648.4760742</v>
      </c>
      <c r="E62">
        <v>0</v>
      </c>
      <c r="F62">
        <v>867.19</v>
      </c>
      <c r="G62" t="s">
        <v>7</v>
      </c>
      <c r="H62">
        <v>3</v>
      </c>
      <c r="I62">
        <f t="shared" si="9"/>
        <v>0.99999808148454361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11</v>
      </c>
      <c r="B63">
        <v>2001</v>
      </c>
      <c r="C63">
        <v>2</v>
      </c>
      <c r="D63">
        <v>0</v>
      </c>
      <c r="E63">
        <v>0</v>
      </c>
      <c r="F63">
        <v>881.67</v>
      </c>
    </row>
    <row r="64" spans="1:11" x14ac:dyDescent="0.3">
      <c r="A64" t="s">
        <v>11</v>
      </c>
      <c r="B64">
        <v>2001</v>
      </c>
      <c r="C64">
        <v>3</v>
      </c>
      <c r="D64">
        <v>0</v>
      </c>
      <c r="E64">
        <v>0</v>
      </c>
      <c r="F64">
        <v>895.76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910.2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924.35</v>
      </c>
    </row>
    <row r="67" spans="1:11" x14ac:dyDescent="0.3">
      <c r="A67" t="s">
        <v>11</v>
      </c>
      <c r="B67">
        <v>11</v>
      </c>
      <c r="C67">
        <v>14</v>
      </c>
      <c r="D67">
        <v>5229375.6933593797</v>
      </c>
      <c r="E67">
        <v>588954.26611328102</v>
      </c>
      <c r="F67">
        <v>939.29</v>
      </c>
      <c r="G67" t="s">
        <v>6</v>
      </c>
      <c r="H67">
        <v>5</v>
      </c>
      <c r="I67">
        <f t="shared" ref="I67:J69" si="10">D67/(C67+D67)</f>
        <v>0.9999973228233463</v>
      </c>
      <c r="J67" s="6">
        <f t="shared" si="10"/>
        <v>0.10122393714616013</v>
      </c>
      <c r="K67" s="2">
        <f>(J67*$N$3)/$N$2</f>
        <v>0.34760883866748987</v>
      </c>
    </row>
    <row r="68" spans="1:11" x14ac:dyDescent="0.3">
      <c r="A68" t="s">
        <v>11</v>
      </c>
      <c r="B68">
        <v>11</v>
      </c>
      <c r="C68">
        <v>16</v>
      </c>
      <c r="D68">
        <v>7081992.8950195303</v>
      </c>
      <c r="E68">
        <v>948566.28808593797</v>
      </c>
      <c r="F68">
        <v>954.26</v>
      </c>
      <c r="G68" t="s">
        <v>6</v>
      </c>
      <c r="H68">
        <v>5</v>
      </c>
      <c r="I68">
        <f t="shared" si="10"/>
        <v>0.9999977407540378</v>
      </c>
      <c r="J68" s="6">
        <f t="shared" si="10"/>
        <v>0.11811958127168939</v>
      </c>
      <c r="K68" s="2">
        <f>(J68*$N$3)/$N$2</f>
        <v>0.40562945512043541</v>
      </c>
    </row>
    <row r="69" spans="1:11" x14ac:dyDescent="0.3">
      <c r="A69" t="s">
        <v>11</v>
      </c>
      <c r="B69">
        <v>11</v>
      </c>
      <c r="C69">
        <v>18</v>
      </c>
      <c r="D69">
        <v>7623217.5224609403</v>
      </c>
      <c r="E69">
        <v>906996.234375</v>
      </c>
      <c r="F69">
        <v>969.08</v>
      </c>
      <c r="G69" t="s">
        <v>6</v>
      </c>
      <c r="H69">
        <v>5</v>
      </c>
      <c r="I69">
        <f t="shared" si="10"/>
        <v>0.99999763879786385</v>
      </c>
      <c r="J69" s="6">
        <f t="shared" si="10"/>
        <v>0.10632749192810691</v>
      </c>
      <c r="K69" s="2">
        <f>(J69*$N$3)/$N$2</f>
        <v>0.36513474015724173</v>
      </c>
    </row>
    <row r="70" spans="1:11" x14ac:dyDescent="0.3">
      <c r="A70" t="s">
        <v>11</v>
      </c>
      <c r="B70">
        <v>2001</v>
      </c>
      <c r="C70">
        <v>2</v>
      </c>
      <c r="D70">
        <v>0</v>
      </c>
      <c r="E70">
        <v>0</v>
      </c>
      <c r="F70">
        <v>983.54</v>
      </c>
    </row>
    <row r="71" spans="1:11" x14ac:dyDescent="0.3">
      <c r="A71" t="s">
        <v>11</v>
      </c>
      <c r="B71">
        <v>2001</v>
      </c>
      <c r="C71">
        <v>3</v>
      </c>
      <c r="D71">
        <v>0</v>
      </c>
      <c r="E71">
        <v>0</v>
      </c>
      <c r="F71">
        <v>997.71</v>
      </c>
    </row>
    <row r="72" spans="1:11" x14ac:dyDescent="0.3">
      <c r="A72" t="s">
        <v>11</v>
      </c>
      <c r="B72">
        <v>11</v>
      </c>
      <c r="C72">
        <v>20</v>
      </c>
      <c r="D72">
        <v>13459474.043945299</v>
      </c>
      <c r="E72">
        <v>0</v>
      </c>
      <c r="F72">
        <v>1012.67</v>
      </c>
      <c r="G72" t="s">
        <v>7</v>
      </c>
      <c r="H72">
        <v>5</v>
      </c>
      <c r="I72">
        <f t="shared" ref="I72:J74" si="11">D72/(C72+D72)</f>
        <v>0.99999851406004303</v>
      </c>
      <c r="J72" s="6">
        <f t="shared" si="11"/>
        <v>0</v>
      </c>
      <c r="K72" s="2">
        <f>(J72*$N$3)/$N$2</f>
        <v>0</v>
      </c>
    </row>
    <row r="73" spans="1:11" x14ac:dyDescent="0.3">
      <c r="A73" t="s">
        <v>11</v>
      </c>
      <c r="B73">
        <v>11</v>
      </c>
      <c r="C73">
        <v>22</v>
      </c>
      <c r="D73">
        <v>13090386.2348633</v>
      </c>
      <c r="E73">
        <v>0</v>
      </c>
      <c r="F73">
        <v>1027.25</v>
      </c>
      <c r="G73" t="s">
        <v>7</v>
      </c>
      <c r="H73">
        <v>5</v>
      </c>
      <c r="I73">
        <f t="shared" si="11"/>
        <v>0.99999831938014416</v>
      </c>
      <c r="J73" s="6">
        <f t="shared" si="11"/>
        <v>0</v>
      </c>
      <c r="K73" s="2">
        <f>(J73*$N$3)/$N$2</f>
        <v>0</v>
      </c>
    </row>
    <row r="74" spans="1:11" x14ac:dyDescent="0.3">
      <c r="A74" t="s">
        <v>11</v>
      </c>
      <c r="B74">
        <v>11</v>
      </c>
      <c r="C74">
        <v>24</v>
      </c>
      <c r="D74">
        <v>11991438.130859399</v>
      </c>
      <c r="E74">
        <v>0</v>
      </c>
      <c r="F74">
        <v>1042.2</v>
      </c>
      <c r="G74" t="s">
        <v>7</v>
      </c>
      <c r="H74">
        <v>5</v>
      </c>
      <c r="I74">
        <f t="shared" si="11"/>
        <v>0.99999799857600868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11</v>
      </c>
      <c r="B75">
        <v>2001</v>
      </c>
      <c r="C75">
        <v>2</v>
      </c>
      <c r="D75">
        <v>0</v>
      </c>
      <c r="E75">
        <v>0</v>
      </c>
      <c r="F75">
        <v>1056.6600000000001</v>
      </c>
    </row>
    <row r="76" spans="1:11" x14ac:dyDescent="0.3">
      <c r="A76" t="s">
        <v>11</v>
      </c>
      <c r="B76">
        <v>2001</v>
      </c>
      <c r="C76">
        <v>3</v>
      </c>
      <c r="D76">
        <v>0</v>
      </c>
      <c r="E76">
        <v>0</v>
      </c>
      <c r="F76">
        <v>1070.3499999999999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1084.82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1099.05</v>
      </c>
    </row>
    <row r="79" spans="1:11" x14ac:dyDescent="0.3">
      <c r="A79" t="s">
        <v>11</v>
      </c>
      <c r="B79">
        <v>10</v>
      </c>
      <c r="C79">
        <v>14</v>
      </c>
      <c r="D79">
        <v>2976159.76953125</v>
      </c>
      <c r="E79">
        <v>584701.00488281297</v>
      </c>
      <c r="F79">
        <v>1113.75</v>
      </c>
      <c r="G79" t="s">
        <v>6</v>
      </c>
      <c r="H79">
        <v>10</v>
      </c>
      <c r="I79">
        <f t="shared" ref="I79:J81" si="12">D79/(C79+D79)</f>
        <v>0.99999529597359427</v>
      </c>
      <c r="J79" s="6">
        <f t="shared" si="12"/>
        <v>0.16420215277274497</v>
      </c>
      <c r="K79" s="2">
        <f>(J79*$N$3)/$N$2</f>
        <v>0.56387966365721298</v>
      </c>
    </row>
    <row r="80" spans="1:11" x14ac:dyDescent="0.3">
      <c r="A80" t="s">
        <v>11</v>
      </c>
      <c r="B80">
        <v>10</v>
      </c>
      <c r="C80">
        <v>16</v>
      </c>
      <c r="D80">
        <v>5007980.98046875</v>
      </c>
      <c r="E80">
        <v>1149009.2675781299</v>
      </c>
      <c r="F80">
        <v>1128.48</v>
      </c>
      <c r="G80" t="s">
        <v>6</v>
      </c>
      <c r="H80">
        <v>10</v>
      </c>
      <c r="I80">
        <f t="shared" si="12"/>
        <v>0.99999680510989475</v>
      </c>
      <c r="J80" s="6">
        <f t="shared" si="12"/>
        <v>0.18661865965154298</v>
      </c>
      <c r="K80" s="2">
        <f>(J80*$N$3)/$N$2</f>
        <v>0.64085924124338634</v>
      </c>
    </row>
    <row r="81" spans="1:11" x14ac:dyDescent="0.3">
      <c r="A81" t="s">
        <v>11</v>
      </c>
      <c r="B81">
        <v>10</v>
      </c>
      <c r="C81">
        <v>18</v>
      </c>
      <c r="D81">
        <v>5678981.6699218797</v>
      </c>
      <c r="E81">
        <v>1140591.6025390599</v>
      </c>
      <c r="F81">
        <v>1143.08</v>
      </c>
      <c r="G81" t="s">
        <v>6</v>
      </c>
      <c r="H81">
        <v>10</v>
      </c>
      <c r="I81">
        <f t="shared" si="12"/>
        <v>0.99999683042770804</v>
      </c>
      <c r="J81" s="6">
        <f t="shared" si="12"/>
        <v>0.16725263546108382</v>
      </c>
      <c r="K81" s="2">
        <f>(J81*$N$3)/$N$2</f>
        <v>0.57435519715812433</v>
      </c>
    </row>
    <row r="82" spans="1:11" x14ac:dyDescent="0.3">
      <c r="A82" t="s">
        <v>11</v>
      </c>
      <c r="B82">
        <v>2001</v>
      </c>
      <c r="C82">
        <v>2</v>
      </c>
      <c r="D82">
        <v>0</v>
      </c>
      <c r="E82">
        <v>0</v>
      </c>
      <c r="F82">
        <v>1157.51</v>
      </c>
    </row>
    <row r="83" spans="1:11" x14ac:dyDescent="0.3">
      <c r="A83" t="s">
        <v>11</v>
      </c>
      <c r="B83">
        <v>2001</v>
      </c>
      <c r="C83">
        <v>3</v>
      </c>
      <c r="D83">
        <v>0</v>
      </c>
      <c r="E83">
        <v>0</v>
      </c>
      <c r="F83">
        <v>1171.67</v>
      </c>
    </row>
    <row r="84" spans="1:11" x14ac:dyDescent="0.3">
      <c r="A84" t="s">
        <v>11</v>
      </c>
      <c r="B84">
        <v>10</v>
      </c>
      <c r="C84">
        <v>20</v>
      </c>
      <c r="D84">
        <v>11431860.786132799</v>
      </c>
      <c r="E84">
        <v>0</v>
      </c>
      <c r="F84">
        <v>1186.3800000000001</v>
      </c>
      <c r="G84" t="s">
        <v>7</v>
      </c>
      <c r="H84">
        <v>10</v>
      </c>
      <c r="I84">
        <f t="shared" ref="I84:J86" si="13">D84/(C84+D84)</f>
        <v>0.99999825050659863</v>
      </c>
      <c r="J84" s="6">
        <f t="shared" si="13"/>
        <v>0</v>
      </c>
      <c r="K84" s="2">
        <f>(J84*$N$3)/$N$2</f>
        <v>0</v>
      </c>
    </row>
    <row r="85" spans="1:11" x14ac:dyDescent="0.3">
      <c r="A85" t="s">
        <v>11</v>
      </c>
      <c r="B85">
        <v>10</v>
      </c>
      <c r="C85">
        <v>22</v>
      </c>
      <c r="D85">
        <v>11534811.2587891</v>
      </c>
      <c r="E85">
        <v>0</v>
      </c>
      <c r="F85">
        <v>1201.04</v>
      </c>
      <c r="G85" t="s">
        <v>7</v>
      </c>
      <c r="H85">
        <v>10</v>
      </c>
      <c r="I85">
        <f t="shared" si="13"/>
        <v>0.99999809273359164</v>
      </c>
      <c r="J85" s="6">
        <f t="shared" si="13"/>
        <v>0</v>
      </c>
      <c r="K85" s="2">
        <f>(J85*$N$3)/$N$2</f>
        <v>0</v>
      </c>
    </row>
    <row r="86" spans="1:11" x14ac:dyDescent="0.3">
      <c r="A86" t="s">
        <v>11</v>
      </c>
      <c r="B86">
        <v>10</v>
      </c>
      <c r="C86">
        <v>24</v>
      </c>
      <c r="D86">
        <v>9923470.2910156306</v>
      </c>
      <c r="E86">
        <v>0</v>
      </c>
      <c r="F86">
        <v>1215.76</v>
      </c>
      <c r="G86" t="s">
        <v>7</v>
      </c>
      <c r="H86">
        <v>10</v>
      </c>
      <c r="I86">
        <f t="shared" si="13"/>
        <v>0.99999758149707185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11</v>
      </c>
      <c r="B87">
        <v>2001</v>
      </c>
      <c r="C87">
        <v>2</v>
      </c>
      <c r="D87">
        <v>0</v>
      </c>
      <c r="E87">
        <v>0</v>
      </c>
      <c r="F87">
        <v>1230.24</v>
      </c>
    </row>
    <row r="88" spans="1:11" x14ac:dyDescent="0.3">
      <c r="A88" t="s">
        <v>11</v>
      </c>
      <c r="B88">
        <v>2001</v>
      </c>
      <c r="C88">
        <v>3</v>
      </c>
      <c r="D88">
        <v>0</v>
      </c>
      <c r="E88">
        <v>0</v>
      </c>
      <c r="F88">
        <v>1244.42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1258.8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1272.98</v>
      </c>
    </row>
    <row r="91" spans="1:11" x14ac:dyDescent="0.3">
      <c r="A91" t="s">
        <v>11</v>
      </c>
      <c r="B91">
        <v>9</v>
      </c>
      <c r="C91">
        <v>14</v>
      </c>
      <c r="D91">
        <v>1422460.1855468799</v>
      </c>
      <c r="E91">
        <v>609248.45800781297</v>
      </c>
      <c r="F91">
        <v>1287.69</v>
      </c>
      <c r="G91" t="s">
        <v>6</v>
      </c>
      <c r="H91">
        <v>20</v>
      </c>
      <c r="I91">
        <f t="shared" ref="I91:J93" si="14">D91/(C91+D91)</f>
        <v>0.99999015799362667</v>
      </c>
      <c r="J91" s="6">
        <f t="shared" si="14"/>
        <v>0.29986999363347061</v>
      </c>
      <c r="K91" s="2">
        <f>(J91*$N$3)/$N$2</f>
        <v>1.0297708543745623</v>
      </c>
    </row>
    <row r="92" spans="1:11" x14ac:dyDescent="0.3">
      <c r="A92" t="s">
        <v>11</v>
      </c>
      <c r="B92">
        <v>9</v>
      </c>
      <c r="C92">
        <v>16</v>
      </c>
      <c r="D92">
        <v>2790516.55078125</v>
      </c>
      <c r="E92">
        <v>1408895.1015625</v>
      </c>
      <c r="F92">
        <v>1302.5</v>
      </c>
      <c r="G92" t="s">
        <v>6</v>
      </c>
      <c r="H92">
        <v>20</v>
      </c>
      <c r="I92">
        <f t="shared" si="14"/>
        <v>0.99999426632740929</v>
      </c>
      <c r="J92" s="6">
        <f t="shared" si="14"/>
        <v>0.33549821217840742</v>
      </c>
      <c r="K92" s="2">
        <f>(J92*$N$3)/$N$2</f>
        <v>1.1521202118621536</v>
      </c>
    </row>
    <row r="93" spans="1:11" x14ac:dyDescent="0.3">
      <c r="A93" t="s">
        <v>11</v>
      </c>
      <c r="B93">
        <v>9</v>
      </c>
      <c r="C93">
        <v>18</v>
      </c>
      <c r="D93">
        <v>3108850.390625</v>
      </c>
      <c r="E93">
        <v>1361243.6254882801</v>
      </c>
      <c r="F93">
        <v>1317.21</v>
      </c>
      <c r="G93" t="s">
        <v>6</v>
      </c>
      <c r="H93">
        <v>20</v>
      </c>
      <c r="I93">
        <f t="shared" si="14"/>
        <v>0.9999942101119319</v>
      </c>
      <c r="J93" s="6">
        <f t="shared" si="14"/>
        <v>0.30452237035315716</v>
      </c>
      <c r="K93" s="2">
        <f>(J93*$N$3)/$N$2</f>
        <v>1.045747384374959</v>
      </c>
    </row>
    <row r="94" spans="1:11" x14ac:dyDescent="0.3">
      <c r="A94" t="s">
        <v>11</v>
      </c>
      <c r="B94">
        <v>2001</v>
      </c>
      <c r="C94">
        <v>2</v>
      </c>
      <c r="D94">
        <v>0</v>
      </c>
      <c r="E94">
        <v>0</v>
      </c>
      <c r="F94">
        <v>1331.5</v>
      </c>
    </row>
    <row r="95" spans="1:11" x14ac:dyDescent="0.3">
      <c r="A95" t="s">
        <v>11</v>
      </c>
      <c r="B95">
        <v>2001</v>
      </c>
      <c r="C95">
        <v>3</v>
      </c>
      <c r="D95">
        <v>0</v>
      </c>
      <c r="E95">
        <v>0</v>
      </c>
      <c r="F95">
        <v>1345.68</v>
      </c>
    </row>
    <row r="96" spans="1:11" x14ac:dyDescent="0.3">
      <c r="A96" t="s">
        <v>11</v>
      </c>
      <c r="B96">
        <v>9</v>
      </c>
      <c r="C96">
        <v>20</v>
      </c>
      <c r="D96">
        <v>11156551.106445299</v>
      </c>
      <c r="E96">
        <v>0</v>
      </c>
      <c r="F96">
        <v>1360.4</v>
      </c>
      <c r="G96" t="s">
        <v>7</v>
      </c>
      <c r="H96">
        <v>20</v>
      </c>
      <c r="I96">
        <f t="shared" ref="I96:J98" si="15">D96/(C96+D96)</f>
        <v>0.99999820733451084</v>
      </c>
      <c r="J96" s="6">
        <f t="shared" si="15"/>
        <v>0</v>
      </c>
      <c r="K96" s="2">
        <f>(J96*$N$3)/$N$2</f>
        <v>0</v>
      </c>
    </row>
    <row r="97" spans="1:11" x14ac:dyDescent="0.3">
      <c r="A97" t="s">
        <v>11</v>
      </c>
      <c r="B97">
        <v>9</v>
      </c>
      <c r="C97">
        <v>22</v>
      </c>
      <c r="D97">
        <v>10045795.5791016</v>
      </c>
      <c r="E97">
        <v>0</v>
      </c>
      <c r="F97">
        <v>1375.12</v>
      </c>
      <c r="G97" t="s">
        <v>7</v>
      </c>
      <c r="H97">
        <v>20</v>
      </c>
      <c r="I97">
        <f t="shared" si="15"/>
        <v>0.99999781003389454</v>
      </c>
      <c r="J97" s="6">
        <f t="shared" si="15"/>
        <v>0</v>
      </c>
      <c r="K97" s="2">
        <f>(J97*$N$3)/$N$2</f>
        <v>0</v>
      </c>
    </row>
    <row r="98" spans="1:11" x14ac:dyDescent="0.3">
      <c r="A98" t="s">
        <v>11</v>
      </c>
      <c r="B98">
        <v>9</v>
      </c>
      <c r="C98">
        <v>24</v>
      </c>
      <c r="D98">
        <v>10146987.5390625</v>
      </c>
      <c r="E98">
        <v>0</v>
      </c>
      <c r="F98">
        <v>1389.84</v>
      </c>
      <c r="G98" t="s">
        <v>7</v>
      </c>
      <c r="H98">
        <v>20</v>
      </c>
      <c r="I98">
        <f t="shared" si="15"/>
        <v>0.99999763477158687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11</v>
      </c>
      <c r="B99">
        <v>2001</v>
      </c>
      <c r="C99">
        <v>2</v>
      </c>
      <c r="D99">
        <v>0</v>
      </c>
      <c r="E99">
        <v>0</v>
      </c>
      <c r="F99">
        <v>1404.25</v>
      </c>
    </row>
    <row r="100" spans="1:11" x14ac:dyDescent="0.3">
      <c r="A100" t="s">
        <v>11</v>
      </c>
      <c r="B100">
        <v>2001</v>
      </c>
      <c r="C100">
        <v>3</v>
      </c>
      <c r="D100">
        <v>0</v>
      </c>
      <c r="E100">
        <v>0</v>
      </c>
      <c r="F100">
        <v>1418.47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1432.92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1446.99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1461.41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1475.62</v>
      </c>
    </row>
    <row r="105" spans="1:11" x14ac:dyDescent="0.3">
      <c r="A105" t="s">
        <v>11</v>
      </c>
      <c r="B105">
        <v>8</v>
      </c>
      <c r="C105">
        <v>14</v>
      </c>
      <c r="D105">
        <v>1389276.0004882801</v>
      </c>
      <c r="E105">
        <v>1458007.95703125</v>
      </c>
      <c r="F105">
        <v>1490.29</v>
      </c>
      <c r="G105" t="s">
        <v>6</v>
      </c>
      <c r="H105">
        <v>40</v>
      </c>
      <c r="I105">
        <f t="shared" ref="I105:J107" si="16">D105/(C105+D105)</f>
        <v>0.999989922910267</v>
      </c>
      <c r="J105" s="6">
        <f t="shared" si="16"/>
        <v>0.51206974042077047</v>
      </c>
      <c r="K105" s="2">
        <f>(J105*$N$3)/$N$2</f>
        <v>1.7584770243367218</v>
      </c>
    </row>
    <row r="106" spans="1:11" x14ac:dyDescent="0.3">
      <c r="A106" t="s">
        <v>11</v>
      </c>
      <c r="B106">
        <v>8</v>
      </c>
      <c r="C106">
        <v>16</v>
      </c>
      <c r="D106">
        <v>2039420.0488281299</v>
      </c>
      <c r="E106">
        <v>2656329.68115234</v>
      </c>
      <c r="F106">
        <v>1504.98</v>
      </c>
      <c r="G106" t="s">
        <v>6</v>
      </c>
      <c r="H106">
        <v>40</v>
      </c>
      <c r="I106">
        <f t="shared" si="16"/>
        <v>0.99999215469393654</v>
      </c>
      <c r="J106" s="6">
        <f t="shared" si="16"/>
        <v>0.56568808686560645</v>
      </c>
      <c r="K106" s="2">
        <f>(J106*$N$3)/$N$2</f>
        <v>1.9426055186873055</v>
      </c>
    </row>
    <row r="107" spans="1:11" x14ac:dyDescent="0.3">
      <c r="A107" t="s">
        <v>11</v>
      </c>
      <c r="B107">
        <v>8</v>
      </c>
      <c r="C107">
        <v>18</v>
      </c>
      <c r="D107">
        <v>2267848.9863281301</v>
      </c>
      <c r="E107">
        <v>2498007.7587890602</v>
      </c>
      <c r="F107">
        <v>1519.71</v>
      </c>
      <c r="G107" t="s">
        <v>6</v>
      </c>
      <c r="H107">
        <v>40</v>
      </c>
      <c r="I107">
        <f t="shared" si="16"/>
        <v>0.99999206302657584</v>
      </c>
      <c r="J107" s="6">
        <f t="shared" si="16"/>
        <v>0.5241466314211749</v>
      </c>
      <c r="K107" s="2">
        <f>(J107*$N$3)/$N$2</f>
        <v>1.7999497646165508</v>
      </c>
    </row>
    <row r="108" spans="1:11" x14ac:dyDescent="0.3">
      <c r="A108" t="s">
        <v>11</v>
      </c>
      <c r="B108">
        <v>2001</v>
      </c>
      <c r="C108">
        <v>2</v>
      </c>
      <c r="D108">
        <v>0</v>
      </c>
      <c r="E108">
        <v>0</v>
      </c>
      <c r="F108">
        <v>1534.17</v>
      </c>
    </row>
    <row r="109" spans="1:11" x14ac:dyDescent="0.3">
      <c r="A109" t="s">
        <v>11</v>
      </c>
      <c r="B109">
        <v>2001</v>
      </c>
      <c r="C109">
        <v>3</v>
      </c>
      <c r="D109">
        <v>0</v>
      </c>
      <c r="E109">
        <v>0</v>
      </c>
      <c r="F109">
        <v>1548.39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1562.72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1576.9</v>
      </c>
    </row>
    <row r="112" spans="1:11" x14ac:dyDescent="0.3">
      <c r="A112" t="s">
        <v>11</v>
      </c>
      <c r="B112">
        <v>8</v>
      </c>
      <c r="C112">
        <v>20</v>
      </c>
      <c r="D112">
        <v>8394493.52099609</v>
      </c>
      <c r="E112">
        <v>0</v>
      </c>
      <c r="F112">
        <v>1591.62</v>
      </c>
      <c r="G112" t="s">
        <v>7</v>
      </c>
      <c r="H112">
        <v>40</v>
      </c>
      <c r="I112">
        <f t="shared" ref="I112:J114" si="17">D112/(C112+D112)</f>
        <v>0.9999976174914782</v>
      </c>
      <c r="J112" s="6">
        <f t="shared" si="17"/>
        <v>0</v>
      </c>
      <c r="K112" s="2">
        <f>(J112*$N$3)/$N$2</f>
        <v>0</v>
      </c>
    </row>
    <row r="113" spans="1:11" x14ac:dyDescent="0.3">
      <c r="A113" t="s">
        <v>11</v>
      </c>
      <c r="B113">
        <v>8</v>
      </c>
      <c r="C113">
        <v>22</v>
      </c>
      <c r="D113">
        <v>8647987.69140625</v>
      </c>
      <c r="E113">
        <v>0</v>
      </c>
      <c r="F113">
        <v>1606.43</v>
      </c>
      <c r="G113" t="s">
        <v>7</v>
      </c>
      <c r="H113">
        <v>40</v>
      </c>
      <c r="I113">
        <f t="shared" si="17"/>
        <v>0.99999745606205526</v>
      </c>
      <c r="J113" s="6">
        <f t="shared" si="17"/>
        <v>0</v>
      </c>
      <c r="K113" s="2">
        <f>(J113*$N$3)/$N$2</f>
        <v>0</v>
      </c>
    </row>
    <row r="114" spans="1:11" x14ac:dyDescent="0.3">
      <c r="A114" t="s">
        <v>11</v>
      </c>
      <c r="B114">
        <v>8</v>
      </c>
      <c r="C114">
        <v>24</v>
      </c>
      <c r="D114">
        <v>9516950.5625</v>
      </c>
      <c r="E114">
        <v>0</v>
      </c>
      <c r="F114">
        <v>1621.01</v>
      </c>
      <c r="G114" t="s">
        <v>7</v>
      </c>
      <c r="H114">
        <v>40</v>
      </c>
      <c r="I114">
        <f t="shared" si="17"/>
        <v>0.99999747819017037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11</v>
      </c>
      <c r="B115">
        <v>2001</v>
      </c>
      <c r="C115">
        <v>2</v>
      </c>
      <c r="D115">
        <v>0</v>
      </c>
      <c r="E115">
        <v>0</v>
      </c>
      <c r="F115">
        <v>1635.46</v>
      </c>
    </row>
    <row r="116" spans="1:11" x14ac:dyDescent="0.3">
      <c r="A116" t="s">
        <v>11</v>
      </c>
      <c r="B116">
        <v>2001</v>
      </c>
      <c r="C116">
        <v>3</v>
      </c>
      <c r="D116">
        <v>0</v>
      </c>
      <c r="E116">
        <v>0</v>
      </c>
      <c r="F116">
        <v>1649.66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1664.11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1678.27</v>
      </c>
    </row>
    <row r="119" spans="1:11" x14ac:dyDescent="0.3">
      <c r="A119" t="s">
        <v>11</v>
      </c>
      <c r="B119">
        <v>7</v>
      </c>
      <c r="C119">
        <v>14</v>
      </c>
      <c r="D119">
        <v>547030.525390625</v>
      </c>
      <c r="E119">
        <v>1174832.3203125</v>
      </c>
      <c r="F119">
        <v>1692.97</v>
      </c>
      <c r="G119" t="s">
        <v>6</v>
      </c>
      <c r="H119">
        <v>60</v>
      </c>
      <c r="I119">
        <f t="shared" ref="I119:J121" si="18">D119/(C119+D119)</f>
        <v>0.99997440793326653</v>
      </c>
      <c r="J119" s="6">
        <f t="shared" si="18"/>
        <v>0.68230307846195248</v>
      </c>
      <c r="K119" s="2">
        <f>(J119*$N$3)/$N$2</f>
        <v>2.3430681260792041</v>
      </c>
    </row>
    <row r="120" spans="1:11" x14ac:dyDescent="0.3">
      <c r="A120" t="s">
        <v>11</v>
      </c>
      <c r="B120">
        <v>7</v>
      </c>
      <c r="C120">
        <v>16</v>
      </c>
      <c r="D120">
        <v>582296.12988281297</v>
      </c>
      <c r="E120">
        <v>1776050.47265625</v>
      </c>
      <c r="F120">
        <v>1707.67</v>
      </c>
      <c r="G120" t="s">
        <v>6</v>
      </c>
      <c r="H120">
        <v>60</v>
      </c>
      <c r="I120">
        <f t="shared" si="18"/>
        <v>0.99997252332696007</v>
      </c>
      <c r="J120" s="6">
        <f t="shared" si="18"/>
        <v>0.75309136949764022</v>
      </c>
      <c r="K120" s="2">
        <f>(J120*$N$3)/$N$2</f>
        <v>2.5861592005020597</v>
      </c>
    </row>
    <row r="121" spans="1:11" x14ac:dyDescent="0.3">
      <c r="A121" t="s">
        <v>11</v>
      </c>
      <c r="B121">
        <v>7</v>
      </c>
      <c r="C121">
        <v>18</v>
      </c>
      <c r="D121">
        <v>631935.45800781297</v>
      </c>
      <c r="E121">
        <v>1627653.9296875</v>
      </c>
      <c r="F121">
        <v>1722.4</v>
      </c>
      <c r="G121" t="s">
        <v>6</v>
      </c>
      <c r="H121">
        <v>60</v>
      </c>
      <c r="I121">
        <f t="shared" si="18"/>
        <v>0.99997151688977737</v>
      </c>
      <c r="J121" s="6">
        <f t="shared" si="18"/>
        <v>0.72033172865431061</v>
      </c>
      <c r="K121" s="2">
        <f>(J121*$N$3)/$N$2</f>
        <v>2.4736607042988243</v>
      </c>
    </row>
    <row r="122" spans="1:11" x14ac:dyDescent="0.3">
      <c r="A122" t="s">
        <v>11</v>
      </c>
      <c r="B122">
        <v>2001</v>
      </c>
      <c r="C122">
        <v>2</v>
      </c>
      <c r="D122">
        <v>0</v>
      </c>
      <c r="E122">
        <v>0</v>
      </c>
      <c r="F122">
        <v>1736.8</v>
      </c>
    </row>
    <row r="123" spans="1:11" x14ac:dyDescent="0.3">
      <c r="A123" t="s">
        <v>11</v>
      </c>
      <c r="B123">
        <v>2001</v>
      </c>
      <c r="C123">
        <v>3</v>
      </c>
      <c r="D123">
        <v>0</v>
      </c>
      <c r="E123">
        <v>0</v>
      </c>
      <c r="F123">
        <v>1751.01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1765.45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1779.6</v>
      </c>
    </row>
    <row r="126" spans="1:11" x14ac:dyDescent="0.3">
      <c r="A126" t="s">
        <v>11</v>
      </c>
      <c r="B126">
        <v>7</v>
      </c>
      <c r="C126">
        <v>20</v>
      </c>
      <c r="D126">
        <v>6740505.6875</v>
      </c>
      <c r="E126">
        <v>0</v>
      </c>
      <c r="F126">
        <v>1794.33</v>
      </c>
      <c r="G126" t="s">
        <v>7</v>
      </c>
      <c r="H126">
        <v>60</v>
      </c>
      <c r="I126">
        <f t="shared" ref="I126:J128" si="19">D126/(C126+D126)</f>
        <v>0.99999703287237118</v>
      </c>
      <c r="J126" s="6">
        <f t="shared" si="19"/>
        <v>0</v>
      </c>
      <c r="K126" s="2">
        <f>(J126*$N$3)/$N$2</f>
        <v>0</v>
      </c>
    </row>
    <row r="127" spans="1:11" x14ac:dyDescent="0.3">
      <c r="A127" t="s">
        <v>11</v>
      </c>
      <c r="B127">
        <v>7</v>
      </c>
      <c r="C127">
        <v>22</v>
      </c>
      <c r="D127">
        <v>6525759.15234375</v>
      </c>
      <c r="E127">
        <v>0</v>
      </c>
      <c r="F127">
        <v>1809.03</v>
      </c>
      <c r="G127" t="s">
        <v>7</v>
      </c>
      <c r="H127">
        <v>60</v>
      </c>
      <c r="I127">
        <f t="shared" si="19"/>
        <v>0.99999662875608508</v>
      </c>
      <c r="J127" s="6">
        <f t="shared" si="19"/>
        <v>0</v>
      </c>
      <c r="K127" s="2">
        <f>(J127*$N$3)/$N$2</f>
        <v>0</v>
      </c>
    </row>
    <row r="128" spans="1:11" x14ac:dyDescent="0.3">
      <c r="A128" t="s">
        <v>11</v>
      </c>
      <c r="B128">
        <v>7</v>
      </c>
      <c r="C128">
        <v>24</v>
      </c>
      <c r="D128">
        <v>5268227.2607421903</v>
      </c>
      <c r="E128">
        <v>0</v>
      </c>
      <c r="F128">
        <v>1823.73</v>
      </c>
      <c r="G128" t="s">
        <v>7</v>
      </c>
      <c r="H128">
        <v>60</v>
      </c>
      <c r="I128">
        <f t="shared" si="19"/>
        <v>0.99999544440862587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11</v>
      </c>
      <c r="B129">
        <v>2001</v>
      </c>
      <c r="C129">
        <v>2</v>
      </c>
      <c r="D129">
        <v>0</v>
      </c>
      <c r="E129">
        <v>0</v>
      </c>
      <c r="F129">
        <v>1838.09</v>
      </c>
    </row>
    <row r="130" spans="1:11" x14ac:dyDescent="0.3">
      <c r="A130" t="s">
        <v>11</v>
      </c>
      <c r="B130">
        <v>2001</v>
      </c>
      <c r="C130">
        <v>3</v>
      </c>
      <c r="D130">
        <v>0</v>
      </c>
      <c r="E130">
        <v>0</v>
      </c>
      <c r="F130">
        <v>1852.28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1866.72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1880.91</v>
      </c>
    </row>
    <row r="133" spans="1:11" x14ac:dyDescent="0.3">
      <c r="A133" t="s">
        <v>11</v>
      </c>
      <c r="B133">
        <v>6</v>
      </c>
      <c r="C133">
        <v>14</v>
      </c>
      <c r="D133">
        <v>47687.135253906301</v>
      </c>
      <c r="E133">
        <v>2696777.89453125</v>
      </c>
      <c r="F133">
        <v>1895.55</v>
      </c>
      <c r="G133" t="s">
        <v>6</v>
      </c>
      <c r="H133">
        <v>300</v>
      </c>
      <c r="I133">
        <f t="shared" ref="I133:J135" si="20">D133/(C133+D133)</f>
        <v>0.99970650593690313</v>
      </c>
      <c r="J133" s="6">
        <f t="shared" si="20"/>
        <v>0.98262425108851204</v>
      </c>
      <c r="K133" s="2">
        <f>(J133*$N$3)/$N$2</f>
        <v>3.3743883551396405</v>
      </c>
    </row>
    <row r="134" spans="1:11" x14ac:dyDescent="0.3">
      <c r="A134" t="s">
        <v>11</v>
      </c>
      <c r="B134">
        <v>6</v>
      </c>
      <c r="C134">
        <v>16</v>
      </c>
      <c r="D134">
        <v>58928.3642578125</v>
      </c>
      <c r="E134">
        <v>3519913.2480468801</v>
      </c>
      <c r="F134">
        <v>1910.28</v>
      </c>
      <c r="G134" t="s">
        <v>6</v>
      </c>
      <c r="H134">
        <v>300</v>
      </c>
      <c r="I134">
        <f t="shared" si="20"/>
        <v>0.99972855759492085</v>
      </c>
      <c r="J134" s="6">
        <f t="shared" si="20"/>
        <v>0.98353423519632543</v>
      </c>
      <c r="K134" s="2">
        <f>(J134*$N$3)/$N$2</f>
        <v>3.3775132930529543</v>
      </c>
    </row>
    <row r="135" spans="1:11" x14ac:dyDescent="0.3">
      <c r="A135" t="s">
        <v>11</v>
      </c>
      <c r="B135">
        <v>6</v>
      </c>
      <c r="C135">
        <v>18</v>
      </c>
      <c r="D135">
        <v>90817.3125</v>
      </c>
      <c r="E135">
        <v>4152328.296875</v>
      </c>
      <c r="F135">
        <v>1924.99</v>
      </c>
      <c r="G135" t="s">
        <v>6</v>
      </c>
      <c r="H135">
        <v>300</v>
      </c>
      <c r="I135">
        <f t="shared" si="20"/>
        <v>0.99980183918010956</v>
      </c>
      <c r="J135" s="6">
        <f t="shared" si="20"/>
        <v>0.97859670139545907</v>
      </c>
      <c r="K135" s="2">
        <f>(J135*$N$3)/$N$2</f>
        <v>3.3605575171881767</v>
      </c>
    </row>
    <row r="136" spans="1:11" x14ac:dyDescent="0.3">
      <c r="A136" t="s">
        <v>11</v>
      </c>
      <c r="B136">
        <v>2001</v>
      </c>
      <c r="C136">
        <v>2</v>
      </c>
      <c r="D136">
        <v>0</v>
      </c>
      <c r="E136">
        <v>121278.013183594</v>
      </c>
      <c r="F136">
        <v>1939.34</v>
      </c>
    </row>
    <row r="137" spans="1:11" x14ac:dyDescent="0.3">
      <c r="A137" t="s">
        <v>11</v>
      </c>
      <c r="B137">
        <v>2001</v>
      </c>
      <c r="C137">
        <v>3</v>
      </c>
      <c r="D137">
        <v>0</v>
      </c>
      <c r="E137">
        <v>0</v>
      </c>
      <c r="F137">
        <v>1953.55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1968.03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1982.21</v>
      </c>
    </row>
    <row r="140" spans="1:11" x14ac:dyDescent="0.3">
      <c r="A140" t="s">
        <v>11</v>
      </c>
      <c r="B140">
        <v>6</v>
      </c>
      <c r="C140">
        <v>20</v>
      </c>
      <c r="D140">
        <v>0</v>
      </c>
      <c r="E140">
        <v>0</v>
      </c>
      <c r="F140">
        <v>1996.9</v>
      </c>
      <c r="G140" t="s">
        <v>7</v>
      </c>
      <c r="H140">
        <v>300</v>
      </c>
      <c r="I140">
        <f t="shared" ref="I140:J142" si="21">D140/(C140+D140)</f>
        <v>0</v>
      </c>
      <c r="J140" s="6" t="e">
        <f t="shared" si="21"/>
        <v>#DIV/0!</v>
      </c>
      <c r="K140" s="2" t="e">
        <f>(J140*$N$3)/$N$2</f>
        <v>#DIV/0!</v>
      </c>
    </row>
    <row r="141" spans="1:11" x14ac:dyDescent="0.3">
      <c r="A141" t="s">
        <v>11</v>
      </c>
      <c r="B141">
        <v>6</v>
      </c>
      <c r="C141">
        <v>22</v>
      </c>
      <c r="D141">
        <v>680835.64990234398</v>
      </c>
      <c r="E141">
        <v>0</v>
      </c>
      <c r="F141">
        <v>2011.57</v>
      </c>
      <c r="G141" t="s">
        <v>7</v>
      </c>
      <c r="H141">
        <v>300</v>
      </c>
      <c r="I141">
        <f t="shared" si="21"/>
        <v>0.99996768781256529</v>
      </c>
      <c r="J141" s="6">
        <f t="shared" si="21"/>
        <v>0</v>
      </c>
      <c r="K141" s="2">
        <f>(J141*$N$3)/$N$2</f>
        <v>0</v>
      </c>
    </row>
    <row r="142" spans="1:11" x14ac:dyDescent="0.3">
      <c r="A142" t="s">
        <v>11</v>
      </c>
      <c r="B142">
        <v>6</v>
      </c>
      <c r="C142">
        <v>24</v>
      </c>
      <c r="D142">
        <v>42495.718261718801</v>
      </c>
      <c r="E142">
        <v>0</v>
      </c>
      <c r="F142">
        <v>2026.3</v>
      </c>
      <c r="G142" t="s">
        <v>7</v>
      </c>
      <c r="H142">
        <v>300</v>
      </c>
      <c r="I142">
        <f t="shared" si="21"/>
        <v>0.99943555599657852</v>
      </c>
      <c r="J142" s="6">
        <f t="shared" si="21"/>
        <v>0</v>
      </c>
      <c r="K142" s="2">
        <f>(J142*$N$3)/$N$2</f>
        <v>0</v>
      </c>
    </row>
    <row r="143" spans="1:11" x14ac:dyDescent="0.3">
      <c r="A143" t="s">
        <v>11</v>
      </c>
      <c r="B143">
        <v>2001</v>
      </c>
      <c r="C143">
        <v>2</v>
      </c>
      <c r="D143">
        <v>0</v>
      </c>
      <c r="E143">
        <v>0</v>
      </c>
      <c r="F143">
        <v>2040.64</v>
      </c>
    </row>
    <row r="144" spans="1:11" x14ac:dyDescent="0.3">
      <c r="A144" t="s">
        <v>11</v>
      </c>
      <c r="B144">
        <v>2001</v>
      </c>
      <c r="C144">
        <v>3</v>
      </c>
      <c r="D144">
        <v>0</v>
      </c>
      <c r="E144">
        <v>0</v>
      </c>
      <c r="F144">
        <v>2054.92</v>
      </c>
    </row>
    <row r="145" spans="1:6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2069.2399999999998</v>
      </c>
    </row>
    <row r="146" spans="1:6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2083.58</v>
      </c>
    </row>
    <row r="147" spans="1:6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2097.87</v>
      </c>
    </row>
    <row r="148" spans="1:6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2112.06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7C5F-BD72-449C-9B15-04505BF7789B}">
  <dimension ref="A1:O173"/>
  <sheetViews>
    <sheetView tabSelected="1" topLeftCell="A155" zoomScaleNormal="100" workbookViewId="0">
      <selection activeCell="O21" sqref="O21"/>
    </sheetView>
  </sheetViews>
  <sheetFormatPr defaultRowHeight="14.4" x14ac:dyDescent="0.3"/>
  <cols>
    <col min="10" max="10" width="8.88671875" style="6"/>
    <col min="14" max="15" width="9.33203125" bestFit="1" customWidth="1"/>
    <col min="19" max="19" width="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>
        <v>1442.74</v>
      </c>
      <c r="E1">
        <v>1474.74</v>
      </c>
      <c r="F1" t="s">
        <v>3</v>
      </c>
      <c r="G1" t="s">
        <v>5</v>
      </c>
      <c r="H1" t="s">
        <v>9</v>
      </c>
      <c r="I1" t="s">
        <v>16</v>
      </c>
      <c r="J1" s="6" t="s">
        <v>20</v>
      </c>
      <c r="K1" t="s">
        <v>13</v>
      </c>
      <c r="M1" t="s">
        <v>14</v>
      </c>
      <c r="N1" s="2" t="s">
        <v>22</v>
      </c>
    </row>
    <row r="2" spans="1:15" x14ac:dyDescent="0.3">
      <c r="A2" t="s">
        <v>11</v>
      </c>
      <c r="B2">
        <v>2001</v>
      </c>
      <c r="C2">
        <v>2</v>
      </c>
      <c r="D2">
        <v>0</v>
      </c>
      <c r="E2">
        <v>0</v>
      </c>
      <c r="F2">
        <v>6.43</v>
      </c>
      <c r="M2">
        <v>2.64E-3</v>
      </c>
      <c r="N2" s="2">
        <v>8.9999999999999993E-3</v>
      </c>
    </row>
    <row r="3" spans="1:15" x14ac:dyDescent="0.3">
      <c r="A3" t="s">
        <v>11</v>
      </c>
      <c r="B3">
        <v>2001</v>
      </c>
      <c r="C3">
        <v>3</v>
      </c>
      <c r="D3">
        <v>0</v>
      </c>
      <c r="E3">
        <v>0</v>
      </c>
      <c r="F3">
        <v>20.64</v>
      </c>
    </row>
    <row r="4" spans="1:15" x14ac:dyDescent="0.3">
      <c r="A4" t="s">
        <v>11</v>
      </c>
      <c r="B4">
        <v>2001</v>
      </c>
      <c r="C4">
        <v>2</v>
      </c>
      <c r="D4">
        <v>0</v>
      </c>
      <c r="E4">
        <v>0</v>
      </c>
      <c r="F4">
        <v>34.96</v>
      </c>
    </row>
    <row r="5" spans="1:15" x14ac:dyDescent="0.3">
      <c r="A5" t="s">
        <v>11</v>
      </c>
      <c r="B5">
        <v>2001</v>
      </c>
      <c r="C5">
        <v>3</v>
      </c>
      <c r="D5">
        <v>0</v>
      </c>
      <c r="E5">
        <v>0</v>
      </c>
      <c r="F5">
        <v>49.19</v>
      </c>
    </row>
    <row r="6" spans="1:15" x14ac:dyDescent="0.3">
      <c r="A6" t="s">
        <v>11</v>
      </c>
      <c r="B6">
        <v>2001</v>
      </c>
      <c r="C6">
        <v>2</v>
      </c>
      <c r="D6">
        <v>0</v>
      </c>
      <c r="E6">
        <v>0</v>
      </c>
      <c r="F6">
        <v>63.62</v>
      </c>
      <c r="K6" s="2"/>
    </row>
    <row r="7" spans="1:15" ht="15.6" x14ac:dyDescent="0.3">
      <c r="A7" t="s">
        <v>11</v>
      </c>
      <c r="B7">
        <v>2001</v>
      </c>
      <c r="C7">
        <v>3</v>
      </c>
      <c r="D7">
        <v>0</v>
      </c>
      <c r="E7">
        <v>0</v>
      </c>
      <c r="F7">
        <v>77.78</v>
      </c>
      <c r="K7" s="2"/>
      <c r="M7" s="3"/>
      <c r="N7" s="4" t="s">
        <v>17</v>
      </c>
      <c r="O7" s="3"/>
    </row>
    <row r="8" spans="1:15" ht="15.6" x14ac:dyDescent="0.3">
      <c r="A8" t="s">
        <v>11</v>
      </c>
      <c r="B8">
        <v>16</v>
      </c>
      <c r="C8">
        <v>1</v>
      </c>
      <c r="D8">
        <v>11108549.4375</v>
      </c>
      <c r="E8">
        <v>0</v>
      </c>
      <c r="F8">
        <v>92.79</v>
      </c>
      <c r="G8" t="s">
        <v>7</v>
      </c>
      <c r="H8">
        <v>0</v>
      </c>
      <c r="I8">
        <f t="shared" ref="I8:J10" si="0">D8/(C8+D8)</f>
        <v>0.99999990997925381</v>
      </c>
      <c r="J8" s="6">
        <f t="shared" si="0"/>
        <v>0</v>
      </c>
      <c r="K8" s="2">
        <f>(J8*$N$2)/$M$2</f>
        <v>0</v>
      </c>
      <c r="M8" s="4" t="s">
        <v>18</v>
      </c>
      <c r="N8" s="4" t="s">
        <v>13</v>
      </c>
      <c r="O8" s="3" t="s">
        <v>19</v>
      </c>
    </row>
    <row r="9" spans="1:15" ht="15.6" x14ac:dyDescent="0.3">
      <c r="A9" t="s">
        <v>11</v>
      </c>
      <c r="B9">
        <v>16</v>
      </c>
      <c r="C9">
        <v>3</v>
      </c>
      <c r="D9">
        <v>6309947.1220703097</v>
      </c>
      <c r="E9">
        <v>0</v>
      </c>
      <c r="F9">
        <v>107.65</v>
      </c>
      <c r="G9" t="s">
        <v>7</v>
      </c>
      <c r="H9">
        <v>0</v>
      </c>
      <c r="I9">
        <f t="shared" si="0"/>
        <v>0.99999952456042573</v>
      </c>
      <c r="J9" s="6">
        <f t="shared" si="0"/>
        <v>0</v>
      </c>
      <c r="K9" s="2">
        <f>(J9*$N$2)/$M$2</f>
        <v>0</v>
      </c>
      <c r="M9" s="3">
        <v>0</v>
      </c>
      <c r="N9" s="5">
        <f>AVERAGE(K14:K16)</f>
        <v>0</v>
      </c>
      <c r="O9" s="5">
        <f>STDEV(K14:K16)</f>
        <v>0</v>
      </c>
    </row>
    <row r="10" spans="1:15" ht="15.6" x14ac:dyDescent="0.3">
      <c r="A10" t="s">
        <v>11</v>
      </c>
      <c r="B10">
        <v>16</v>
      </c>
      <c r="C10">
        <v>5</v>
      </c>
      <c r="D10">
        <v>9552928.6894531306</v>
      </c>
      <c r="E10">
        <v>0</v>
      </c>
      <c r="F10">
        <v>122.5</v>
      </c>
      <c r="G10" t="s">
        <v>7</v>
      </c>
      <c r="H10">
        <v>0</v>
      </c>
      <c r="I10">
        <f t="shared" si="0"/>
        <v>0.99999947660057498</v>
      </c>
      <c r="J10" s="6">
        <f t="shared" si="0"/>
        <v>0</v>
      </c>
      <c r="K10" s="2">
        <f>(J10*$N$2)/$M$2</f>
        <v>0</v>
      </c>
      <c r="M10" s="3">
        <v>0.5</v>
      </c>
      <c r="N10" s="5">
        <f>AVERAGE(K26:K28)</f>
        <v>0.70527605468700549</v>
      </c>
      <c r="O10" s="5">
        <f>STDEV(K26:K28)</f>
        <v>2.0843406855161107E-2</v>
      </c>
    </row>
    <row r="11" spans="1:15" ht="15.6" x14ac:dyDescent="0.3">
      <c r="A11" t="s">
        <v>11</v>
      </c>
      <c r="B11">
        <v>2001</v>
      </c>
      <c r="C11">
        <v>2</v>
      </c>
      <c r="D11">
        <v>0</v>
      </c>
      <c r="E11">
        <v>0</v>
      </c>
      <c r="F11">
        <v>136.96</v>
      </c>
      <c r="M11" s="3">
        <v>1</v>
      </c>
      <c r="N11" s="5">
        <f>AVERAGE(K38:K40)</f>
        <v>1.5690751616227434</v>
      </c>
      <c r="O11" s="5">
        <f>STDEV(K38:K40)</f>
        <v>4.8026454324457554E-2</v>
      </c>
    </row>
    <row r="12" spans="1:15" ht="15.6" x14ac:dyDescent="0.3">
      <c r="A12" t="s">
        <v>11</v>
      </c>
      <c r="B12">
        <v>2001</v>
      </c>
      <c r="C12">
        <v>3</v>
      </c>
      <c r="D12">
        <v>0</v>
      </c>
      <c r="E12">
        <v>0</v>
      </c>
      <c r="F12">
        <v>151.15</v>
      </c>
      <c r="M12" s="3">
        <v>1.5</v>
      </c>
      <c r="N12" s="5">
        <f>AVERAGE(K50:K52)</f>
        <v>2.2950673554965144</v>
      </c>
      <c r="O12" s="5">
        <f>STDEV(K50:K52)</f>
        <v>4.7250744934647607E-2</v>
      </c>
    </row>
    <row r="13" spans="1:15" ht="15.6" x14ac:dyDescent="0.3">
      <c r="A13" t="s">
        <v>11</v>
      </c>
      <c r="B13">
        <v>16</v>
      </c>
      <c r="C13">
        <v>7</v>
      </c>
      <c r="D13">
        <v>8401329.3671875</v>
      </c>
      <c r="E13">
        <v>26872.082519531301</v>
      </c>
      <c r="F13">
        <v>166</v>
      </c>
      <c r="G13" t="s">
        <v>6</v>
      </c>
      <c r="H13">
        <v>0</v>
      </c>
      <c r="I13">
        <f t="shared" ref="I13:J15" si="1">D13/(C13+D13)</f>
        <v>0.99999916679922174</v>
      </c>
      <c r="J13" s="6">
        <f t="shared" si="1"/>
        <v>3.1883531355868799E-3</v>
      </c>
      <c r="K13" s="2">
        <f>(J13*$N$2)/$M$2</f>
        <v>1.0869385689500726E-2</v>
      </c>
      <c r="M13" s="3">
        <v>3</v>
      </c>
      <c r="N13" s="5" t="e">
        <f>AVERAGE(K62:K64)</f>
        <v>#DIV/0!</v>
      </c>
      <c r="O13" s="5" t="e">
        <f>STDEV(K62:K64)</f>
        <v>#DIV/0!</v>
      </c>
    </row>
    <row r="14" spans="1:15" ht="15.6" x14ac:dyDescent="0.3">
      <c r="A14" t="s">
        <v>11</v>
      </c>
      <c r="B14">
        <v>16</v>
      </c>
      <c r="C14">
        <v>9</v>
      </c>
      <c r="D14">
        <v>7546794.3588867197</v>
      </c>
      <c r="E14">
        <v>0</v>
      </c>
      <c r="F14">
        <v>180.97</v>
      </c>
      <c r="G14" t="s">
        <v>6</v>
      </c>
      <c r="H14">
        <v>0</v>
      </c>
      <c r="I14">
        <f t="shared" si="1"/>
        <v>0.99999880744209546</v>
      </c>
      <c r="J14" s="6">
        <f t="shared" si="1"/>
        <v>0</v>
      </c>
      <c r="K14" s="2">
        <f>(J14*$N$2)/$M$2</f>
        <v>0</v>
      </c>
      <c r="M14" s="3">
        <v>5</v>
      </c>
      <c r="N14" s="5">
        <f>AVERAGE(K74:K76)</f>
        <v>3.3298879395991152</v>
      </c>
      <c r="O14" s="5">
        <f>STDEV(K74:K76)</f>
        <v>1.1661535630820783E-2</v>
      </c>
    </row>
    <row r="15" spans="1:15" ht="15.6" x14ac:dyDescent="0.3">
      <c r="A15" t="s">
        <v>11</v>
      </c>
      <c r="B15">
        <v>16</v>
      </c>
      <c r="C15">
        <v>11</v>
      </c>
      <c r="D15">
        <v>2558216.21875</v>
      </c>
      <c r="E15">
        <v>0</v>
      </c>
      <c r="F15">
        <v>195.83</v>
      </c>
      <c r="G15" t="s">
        <v>6</v>
      </c>
      <c r="H15">
        <v>0</v>
      </c>
      <c r="I15">
        <f t="shared" si="1"/>
        <v>0.99999570014738359</v>
      </c>
      <c r="J15" s="6">
        <f t="shared" si="1"/>
        <v>0</v>
      </c>
      <c r="K15" s="2">
        <f>(J15*$N$2)/$M$2</f>
        <v>0</v>
      </c>
      <c r="M15" s="3">
        <v>10</v>
      </c>
      <c r="N15" s="5">
        <f>AVERAGE(K86:K88)</f>
        <v>3.3513101004900809</v>
      </c>
      <c r="O15" s="5">
        <f>STDEV(K86:K88)</f>
        <v>3.0831158389695952E-3</v>
      </c>
    </row>
    <row r="16" spans="1:15" ht="15.6" x14ac:dyDescent="0.3">
      <c r="A16" t="s">
        <v>11</v>
      </c>
      <c r="B16">
        <v>2001</v>
      </c>
      <c r="C16">
        <v>2</v>
      </c>
      <c r="D16">
        <v>0</v>
      </c>
      <c r="E16">
        <v>0</v>
      </c>
      <c r="F16">
        <v>210.3</v>
      </c>
      <c r="M16" s="3">
        <v>20</v>
      </c>
      <c r="N16" s="5">
        <f>AVERAGE(K98:K100)</f>
        <v>3.3222157447822136</v>
      </c>
      <c r="O16" s="5">
        <f>STDEV(K98:K100)</f>
        <v>3.6024134425694057E-3</v>
      </c>
    </row>
    <row r="17" spans="1:15" ht="15.6" x14ac:dyDescent="0.3">
      <c r="A17" t="s">
        <v>11</v>
      </c>
      <c r="B17">
        <v>2001</v>
      </c>
      <c r="C17">
        <v>3</v>
      </c>
      <c r="D17">
        <v>0</v>
      </c>
      <c r="E17">
        <v>0</v>
      </c>
      <c r="F17">
        <v>224.53</v>
      </c>
      <c r="M17" s="3">
        <v>40</v>
      </c>
      <c r="N17" s="5">
        <f>AVERAGE(K114:K116)</f>
        <v>3.3374159195459412</v>
      </c>
      <c r="O17" s="5">
        <f>STDEV(K114:K116)</f>
        <v>1.1768872024198622E-2</v>
      </c>
    </row>
    <row r="18" spans="1:15" ht="15.6" x14ac:dyDescent="0.3">
      <c r="A18" t="s">
        <v>11</v>
      </c>
      <c r="B18">
        <v>2001</v>
      </c>
      <c r="C18">
        <v>2</v>
      </c>
      <c r="D18">
        <v>0</v>
      </c>
      <c r="E18">
        <v>0</v>
      </c>
      <c r="F18">
        <v>238.9</v>
      </c>
      <c r="M18" s="3">
        <v>60</v>
      </c>
      <c r="N18" s="5">
        <f>AVERAGE(K128:K130)</f>
        <v>3.382473840197691</v>
      </c>
      <c r="O18" s="5">
        <f>STDEV(K128:K130)</f>
        <v>3.7642219819407165E-2</v>
      </c>
    </row>
    <row r="19" spans="1:15" ht="15.6" x14ac:dyDescent="0.3">
      <c r="A19" t="s">
        <v>11</v>
      </c>
      <c r="B19">
        <v>2001</v>
      </c>
      <c r="C19">
        <v>3</v>
      </c>
      <c r="D19">
        <v>0</v>
      </c>
      <c r="E19">
        <v>0</v>
      </c>
      <c r="F19">
        <v>253.12</v>
      </c>
      <c r="M19" s="3">
        <v>90</v>
      </c>
      <c r="N19" s="5">
        <f>AVERAGE(K142:K144)</f>
        <v>3.3588966096089492</v>
      </c>
      <c r="O19" s="5">
        <f>STDEV(K142:K144)</f>
        <v>6.5496053460814812E-3</v>
      </c>
    </row>
    <row r="20" spans="1:15" ht="15.6" x14ac:dyDescent="0.3">
      <c r="A20" t="s">
        <v>11</v>
      </c>
      <c r="B20">
        <v>15</v>
      </c>
      <c r="C20">
        <v>1</v>
      </c>
      <c r="D20">
        <v>5630720.0537109403</v>
      </c>
      <c r="E20">
        <v>0</v>
      </c>
      <c r="F20">
        <v>267.95999999999998</v>
      </c>
      <c r="G20" t="s">
        <v>7</v>
      </c>
      <c r="H20">
        <v>0.5</v>
      </c>
      <c r="I20">
        <f t="shared" ref="I20:J22" si="2">D20/(C20+D20)</f>
        <v>0.99999982240285201</v>
      </c>
      <c r="J20" s="6">
        <f t="shared" si="2"/>
        <v>0</v>
      </c>
      <c r="K20" s="2">
        <f>(J20*$N$2)/$M$2</f>
        <v>0</v>
      </c>
      <c r="M20" s="3">
        <v>120</v>
      </c>
      <c r="N20" s="2">
        <f>AVERAGE(K156:K158)</f>
        <v>3.4090909090909087</v>
      </c>
      <c r="O20" s="5">
        <f>STDEV(K156:K158)</f>
        <v>0</v>
      </c>
    </row>
    <row r="21" spans="1:15" x14ac:dyDescent="0.3">
      <c r="A21" t="s">
        <v>11</v>
      </c>
      <c r="B21">
        <v>15</v>
      </c>
      <c r="C21">
        <v>3</v>
      </c>
      <c r="D21">
        <v>1794579.6542968799</v>
      </c>
      <c r="E21">
        <v>0</v>
      </c>
      <c r="F21">
        <v>282.95</v>
      </c>
      <c r="G21" t="s">
        <v>7</v>
      </c>
      <c r="H21">
        <v>0.5</v>
      </c>
      <c r="I21">
        <f t="shared" si="2"/>
        <v>0.99999832830213042</v>
      </c>
      <c r="J21" s="6">
        <f t="shared" si="2"/>
        <v>0</v>
      </c>
      <c r="K21" s="2">
        <f>(J21*$N$2)/$M$2</f>
        <v>0</v>
      </c>
    </row>
    <row r="22" spans="1:15" x14ac:dyDescent="0.3">
      <c r="A22" t="s">
        <v>11</v>
      </c>
      <c r="B22">
        <v>15</v>
      </c>
      <c r="C22">
        <v>5</v>
      </c>
      <c r="D22">
        <v>7190144.6621093797</v>
      </c>
      <c r="E22">
        <v>0</v>
      </c>
      <c r="F22">
        <v>297.81</v>
      </c>
      <c r="G22" t="s">
        <v>7</v>
      </c>
      <c r="H22">
        <v>0.5</v>
      </c>
      <c r="I22">
        <f t="shared" si="2"/>
        <v>0.99999930460418285</v>
      </c>
      <c r="J22" s="6">
        <f t="shared" si="2"/>
        <v>0</v>
      </c>
      <c r="K22" s="2">
        <f>(J22*$N$2)/$M$2</f>
        <v>0</v>
      </c>
    </row>
    <row r="23" spans="1:15" x14ac:dyDescent="0.3">
      <c r="A23" t="s">
        <v>11</v>
      </c>
      <c r="B23">
        <v>2001</v>
      </c>
      <c r="C23">
        <v>2</v>
      </c>
      <c r="D23">
        <v>0</v>
      </c>
      <c r="E23">
        <v>0</v>
      </c>
      <c r="F23">
        <v>312.27999999999997</v>
      </c>
    </row>
    <row r="24" spans="1:15" x14ac:dyDescent="0.3">
      <c r="A24" t="s">
        <v>11</v>
      </c>
      <c r="B24">
        <v>2001</v>
      </c>
      <c r="C24">
        <v>3</v>
      </c>
      <c r="D24">
        <v>0</v>
      </c>
      <c r="E24">
        <v>0</v>
      </c>
      <c r="F24">
        <v>326.47000000000003</v>
      </c>
    </row>
    <row r="25" spans="1:15" x14ac:dyDescent="0.3">
      <c r="A25" t="s">
        <v>11</v>
      </c>
      <c r="B25">
        <v>15</v>
      </c>
      <c r="C25">
        <v>7</v>
      </c>
      <c r="D25">
        <v>1309373.1191406299</v>
      </c>
      <c r="E25">
        <v>288631.138671875</v>
      </c>
      <c r="F25">
        <v>341.33</v>
      </c>
      <c r="G25" t="s">
        <v>6</v>
      </c>
      <c r="H25">
        <v>0.5</v>
      </c>
      <c r="I25">
        <f t="shared" ref="I25:J27" si="3">D25/(C25+D25)</f>
        <v>0.99999465395884846</v>
      </c>
      <c r="J25" s="6">
        <f t="shared" si="3"/>
        <v>0.18061975571140207</v>
      </c>
      <c r="K25" s="2">
        <f>(J25*$N$2)/$M$2</f>
        <v>0.61574916719796158</v>
      </c>
    </row>
    <row r="26" spans="1:15" x14ac:dyDescent="0.3">
      <c r="A26" t="s">
        <v>11</v>
      </c>
      <c r="B26">
        <v>15</v>
      </c>
      <c r="C26">
        <v>9</v>
      </c>
      <c r="D26">
        <v>2735925.19921875</v>
      </c>
      <c r="E26">
        <v>732558.6015625</v>
      </c>
      <c r="F26">
        <v>356.19</v>
      </c>
      <c r="G26" t="s">
        <v>6</v>
      </c>
      <c r="H26">
        <v>0.5</v>
      </c>
      <c r="I26">
        <f t="shared" si="3"/>
        <v>0.99999671044720206</v>
      </c>
      <c r="J26" s="6">
        <f t="shared" si="3"/>
        <v>0.2112042735784139</v>
      </c>
      <c r="K26" s="2">
        <f>(J26*$N$2)/$M$2</f>
        <v>0.72001456901732008</v>
      </c>
    </row>
    <row r="27" spans="1:15" x14ac:dyDescent="0.3">
      <c r="A27" t="s">
        <v>11</v>
      </c>
      <c r="B27">
        <v>15</v>
      </c>
      <c r="C27">
        <v>11</v>
      </c>
      <c r="D27">
        <v>1753216.421875</v>
      </c>
      <c r="E27">
        <v>445333.083984375</v>
      </c>
      <c r="F27">
        <v>371.17</v>
      </c>
      <c r="G27" t="s">
        <v>6</v>
      </c>
      <c r="H27">
        <v>0.5</v>
      </c>
      <c r="I27">
        <f t="shared" si="3"/>
        <v>0.99999372585674695</v>
      </c>
      <c r="J27" s="6">
        <f t="shared" si="3"/>
        <v>0.20255767850462936</v>
      </c>
      <c r="K27" s="2">
        <f>(J27*$N$2)/$M$2</f>
        <v>0.6905375403566909</v>
      </c>
    </row>
    <row r="28" spans="1:15" x14ac:dyDescent="0.3">
      <c r="A28" t="s">
        <v>11</v>
      </c>
      <c r="B28">
        <v>2001</v>
      </c>
      <c r="C28">
        <v>2</v>
      </c>
      <c r="D28">
        <v>0</v>
      </c>
      <c r="E28">
        <v>0</v>
      </c>
      <c r="F28">
        <v>385.54</v>
      </c>
    </row>
    <row r="29" spans="1:15" x14ac:dyDescent="0.3">
      <c r="A29" t="s">
        <v>11</v>
      </c>
      <c r="B29">
        <v>2001</v>
      </c>
      <c r="C29">
        <v>3</v>
      </c>
      <c r="D29">
        <v>0</v>
      </c>
      <c r="E29">
        <v>0</v>
      </c>
      <c r="F29">
        <v>399.79</v>
      </c>
    </row>
    <row r="30" spans="1:15" x14ac:dyDescent="0.3">
      <c r="A30" t="s">
        <v>11</v>
      </c>
      <c r="B30">
        <v>2001</v>
      </c>
      <c r="C30">
        <v>2</v>
      </c>
      <c r="D30">
        <v>0</v>
      </c>
      <c r="E30">
        <v>0</v>
      </c>
      <c r="F30">
        <v>414.11</v>
      </c>
    </row>
    <row r="31" spans="1:15" x14ac:dyDescent="0.3">
      <c r="A31" t="s">
        <v>11</v>
      </c>
      <c r="B31">
        <v>2001</v>
      </c>
      <c r="C31">
        <v>3</v>
      </c>
      <c r="D31">
        <v>0</v>
      </c>
      <c r="E31">
        <v>0</v>
      </c>
      <c r="F31">
        <v>428.45</v>
      </c>
    </row>
    <row r="32" spans="1:15" x14ac:dyDescent="0.3">
      <c r="A32" t="s">
        <v>11</v>
      </c>
      <c r="B32">
        <v>14</v>
      </c>
      <c r="C32">
        <v>1</v>
      </c>
      <c r="D32">
        <v>3749253.39990234</v>
      </c>
      <c r="E32">
        <v>0</v>
      </c>
      <c r="F32">
        <v>443.32</v>
      </c>
      <c r="G32" t="s">
        <v>7</v>
      </c>
      <c r="H32">
        <v>1</v>
      </c>
      <c r="I32">
        <f t="shared" ref="I32:J34" si="4">D32/(C32+D32)</f>
        <v>0.99999973328030234</v>
      </c>
      <c r="J32" s="6">
        <f t="shared" si="4"/>
        <v>0</v>
      </c>
      <c r="K32" s="2">
        <f>(J32*$N$2)/$M$2</f>
        <v>0</v>
      </c>
    </row>
    <row r="33" spans="1:11" x14ac:dyDescent="0.3">
      <c r="A33" t="s">
        <v>11</v>
      </c>
      <c r="B33">
        <v>14</v>
      </c>
      <c r="C33">
        <v>3</v>
      </c>
      <c r="D33">
        <v>1518348.41015625</v>
      </c>
      <c r="E33">
        <v>0</v>
      </c>
      <c r="F33">
        <v>458.2</v>
      </c>
      <c r="G33" t="s">
        <v>7</v>
      </c>
      <c r="H33">
        <v>1</v>
      </c>
      <c r="I33">
        <f t="shared" si="4"/>
        <v>0.99999802417281014</v>
      </c>
      <c r="J33" s="6">
        <f t="shared" si="4"/>
        <v>0</v>
      </c>
      <c r="K33" s="2">
        <f>(J33*$N$2)/$M$2</f>
        <v>0</v>
      </c>
    </row>
    <row r="34" spans="1:11" x14ac:dyDescent="0.3">
      <c r="A34" t="s">
        <v>11</v>
      </c>
      <c r="B34">
        <v>14</v>
      </c>
      <c r="C34">
        <v>5</v>
      </c>
      <c r="D34">
        <v>7048402.5078125</v>
      </c>
      <c r="E34">
        <v>0</v>
      </c>
      <c r="F34">
        <v>473.18</v>
      </c>
      <c r="G34" t="s">
        <v>7</v>
      </c>
      <c r="H34">
        <v>1</v>
      </c>
      <c r="I34">
        <f t="shared" si="4"/>
        <v>0.99999929061990322</v>
      </c>
      <c r="J34" s="6">
        <f t="shared" si="4"/>
        <v>0</v>
      </c>
      <c r="K34" s="2">
        <f>(J34*$N$2)/$M$2</f>
        <v>0</v>
      </c>
    </row>
    <row r="35" spans="1:11" x14ac:dyDescent="0.3">
      <c r="A35" t="s">
        <v>11</v>
      </c>
      <c r="B35">
        <v>2001</v>
      </c>
      <c r="C35">
        <v>2</v>
      </c>
      <c r="D35">
        <v>0</v>
      </c>
      <c r="E35">
        <v>0</v>
      </c>
      <c r="F35">
        <v>487.54</v>
      </c>
    </row>
    <row r="36" spans="1:11" x14ac:dyDescent="0.3">
      <c r="A36" t="s">
        <v>11</v>
      </c>
      <c r="B36">
        <v>2001</v>
      </c>
      <c r="C36">
        <v>3</v>
      </c>
      <c r="D36">
        <v>0</v>
      </c>
      <c r="E36">
        <v>0</v>
      </c>
      <c r="F36">
        <v>501.76</v>
      </c>
    </row>
    <row r="37" spans="1:11" x14ac:dyDescent="0.3">
      <c r="A37" t="s">
        <v>11</v>
      </c>
      <c r="B37">
        <v>14</v>
      </c>
      <c r="C37">
        <v>7</v>
      </c>
      <c r="D37">
        <v>2508613.11083984</v>
      </c>
      <c r="E37">
        <v>1923429.6123046901</v>
      </c>
      <c r="F37">
        <v>516.76</v>
      </c>
      <c r="G37" t="s">
        <v>6</v>
      </c>
      <c r="H37">
        <v>1</v>
      </c>
      <c r="I37">
        <f t="shared" ref="I37:J39" si="5">D37/(C37+D37)</f>
        <v>0.9999972096213493</v>
      </c>
      <c r="J37" s="6">
        <f t="shared" si="5"/>
        <v>0.43398264241911877</v>
      </c>
      <c r="K37" s="2">
        <f>(J37*$N$2)/$M$2</f>
        <v>1.4794862809742684</v>
      </c>
    </row>
    <row r="38" spans="1:11" x14ac:dyDescent="0.3">
      <c r="A38" t="s">
        <v>11</v>
      </c>
      <c r="B38">
        <v>14</v>
      </c>
      <c r="C38">
        <v>9</v>
      </c>
      <c r="D38">
        <v>753670.380859375</v>
      </c>
      <c r="E38">
        <v>668949.384765625</v>
      </c>
      <c r="F38">
        <v>531.6</v>
      </c>
      <c r="G38" t="s">
        <v>6</v>
      </c>
      <c r="H38">
        <v>1</v>
      </c>
      <c r="I38">
        <f t="shared" si="5"/>
        <v>0.99998805858269635</v>
      </c>
      <c r="J38" s="6">
        <f t="shared" si="5"/>
        <v>0.47022359799122798</v>
      </c>
      <c r="K38" s="2">
        <f>(J38*$N$2)/$M$2</f>
        <v>1.6030349931519134</v>
      </c>
    </row>
    <row r="39" spans="1:11" x14ac:dyDescent="0.3">
      <c r="A39" t="s">
        <v>11</v>
      </c>
      <c r="B39">
        <v>14</v>
      </c>
      <c r="C39">
        <v>11</v>
      </c>
      <c r="D39">
        <v>2313968.5644531301</v>
      </c>
      <c r="E39">
        <v>1895546.9091796901</v>
      </c>
      <c r="F39">
        <v>546.58000000000004</v>
      </c>
      <c r="G39" t="s">
        <v>6</v>
      </c>
      <c r="H39">
        <v>1</v>
      </c>
      <c r="I39">
        <f t="shared" si="5"/>
        <v>0.99999524628472569</v>
      </c>
      <c r="J39" s="6">
        <f t="shared" si="5"/>
        <v>0.45030049682744827</v>
      </c>
      <c r="K39" s="2">
        <f>(J39*$N$2)/$M$2</f>
        <v>1.5351153300935736</v>
      </c>
    </row>
    <row r="40" spans="1:11" x14ac:dyDescent="0.3">
      <c r="A40" t="s">
        <v>11</v>
      </c>
      <c r="B40">
        <v>2001</v>
      </c>
      <c r="C40">
        <v>2</v>
      </c>
      <c r="D40">
        <v>0</v>
      </c>
      <c r="E40">
        <v>0</v>
      </c>
      <c r="F40">
        <v>560.96</v>
      </c>
    </row>
    <row r="41" spans="1:11" x14ac:dyDescent="0.3">
      <c r="A41" t="s">
        <v>11</v>
      </c>
      <c r="B41">
        <v>2001</v>
      </c>
      <c r="C41">
        <v>3</v>
      </c>
      <c r="D41">
        <v>0</v>
      </c>
      <c r="E41">
        <v>0</v>
      </c>
      <c r="F41">
        <v>575.22</v>
      </c>
    </row>
    <row r="42" spans="1:11" x14ac:dyDescent="0.3">
      <c r="A42" t="s">
        <v>11</v>
      </c>
      <c r="B42">
        <v>2001</v>
      </c>
      <c r="C42">
        <v>2</v>
      </c>
      <c r="D42">
        <v>0</v>
      </c>
      <c r="E42">
        <v>0</v>
      </c>
      <c r="F42">
        <v>589.54</v>
      </c>
    </row>
    <row r="43" spans="1:11" x14ac:dyDescent="0.3">
      <c r="A43" t="s">
        <v>11</v>
      </c>
      <c r="B43">
        <v>2001</v>
      </c>
      <c r="C43">
        <v>3</v>
      </c>
      <c r="D43">
        <v>0</v>
      </c>
      <c r="E43">
        <v>0</v>
      </c>
      <c r="F43">
        <v>603.72</v>
      </c>
    </row>
    <row r="44" spans="1:11" x14ac:dyDescent="0.3">
      <c r="A44" t="s">
        <v>11</v>
      </c>
      <c r="B44">
        <v>13</v>
      </c>
      <c r="C44">
        <v>1</v>
      </c>
      <c r="D44">
        <v>1792196.12890625</v>
      </c>
      <c r="E44">
        <v>0</v>
      </c>
      <c r="F44">
        <v>618.71</v>
      </c>
      <c r="G44" t="s">
        <v>7</v>
      </c>
      <c r="H44">
        <v>1.5</v>
      </c>
      <c r="I44">
        <f t="shared" ref="I44:J46" si="6">D44/(C44+D44)</f>
        <v>0.99999944202566571</v>
      </c>
      <c r="J44" s="6">
        <f t="shared" si="6"/>
        <v>0</v>
      </c>
      <c r="K44" s="2">
        <f>(J44*$N$2)/$M$2</f>
        <v>0</v>
      </c>
    </row>
    <row r="45" spans="1:11" x14ac:dyDescent="0.3">
      <c r="A45" t="s">
        <v>11</v>
      </c>
      <c r="B45">
        <v>13</v>
      </c>
      <c r="C45">
        <v>3</v>
      </c>
      <c r="D45">
        <v>1829946.8125</v>
      </c>
      <c r="E45">
        <v>0</v>
      </c>
      <c r="F45">
        <v>633.54</v>
      </c>
      <c r="G45" t="s">
        <v>7</v>
      </c>
      <c r="H45">
        <v>1.5</v>
      </c>
      <c r="I45">
        <f t="shared" si="6"/>
        <v>0.99999836061077763</v>
      </c>
      <c r="J45" s="6">
        <f t="shared" si="6"/>
        <v>0</v>
      </c>
      <c r="K45" s="2">
        <f>(J45*$N$2)/$M$2</f>
        <v>0</v>
      </c>
    </row>
    <row r="46" spans="1:11" x14ac:dyDescent="0.3">
      <c r="A46" t="s">
        <v>11</v>
      </c>
      <c r="B46">
        <v>13</v>
      </c>
      <c r="C46">
        <v>5</v>
      </c>
      <c r="D46">
        <v>7412444.3349609403</v>
      </c>
      <c r="E46">
        <v>0</v>
      </c>
      <c r="F46">
        <v>648.54</v>
      </c>
      <c r="G46" t="s">
        <v>7</v>
      </c>
      <c r="H46">
        <v>1.5</v>
      </c>
      <c r="I46">
        <f t="shared" si="6"/>
        <v>0.99999932545913317</v>
      </c>
      <c r="J46" s="6">
        <f t="shared" si="6"/>
        <v>0</v>
      </c>
      <c r="K46" s="2">
        <f>(J46*$N$2)/$M$2</f>
        <v>0</v>
      </c>
    </row>
    <row r="47" spans="1:11" x14ac:dyDescent="0.3">
      <c r="A47" t="s">
        <v>11</v>
      </c>
      <c r="B47">
        <v>2001</v>
      </c>
      <c r="C47">
        <v>2</v>
      </c>
      <c r="D47">
        <v>0</v>
      </c>
      <c r="E47">
        <v>0</v>
      </c>
      <c r="F47">
        <v>662.9</v>
      </c>
    </row>
    <row r="48" spans="1:11" x14ac:dyDescent="0.3">
      <c r="A48" t="s">
        <v>11</v>
      </c>
      <c r="B48">
        <v>2001</v>
      </c>
      <c r="C48">
        <v>3</v>
      </c>
      <c r="D48">
        <v>0</v>
      </c>
      <c r="E48">
        <v>0</v>
      </c>
      <c r="F48">
        <v>676.98</v>
      </c>
    </row>
    <row r="49" spans="1:11" x14ac:dyDescent="0.3">
      <c r="A49" t="s">
        <v>11</v>
      </c>
      <c r="B49">
        <v>13</v>
      </c>
      <c r="C49">
        <v>7</v>
      </c>
      <c r="D49">
        <v>261628.927734375</v>
      </c>
      <c r="E49">
        <v>625255.90234375</v>
      </c>
      <c r="F49">
        <v>691.84</v>
      </c>
      <c r="G49" t="s">
        <v>6</v>
      </c>
      <c r="H49">
        <v>1.5</v>
      </c>
      <c r="I49">
        <f t="shared" ref="I49:J51" si="7">D49/(C49+D49)</f>
        <v>0.99997324526466758</v>
      </c>
      <c r="J49" s="6">
        <f t="shared" si="7"/>
        <v>0.70500236461218047</v>
      </c>
      <c r="K49" s="2">
        <f>(J49*$N$2)/$M$2</f>
        <v>2.4034171520869787</v>
      </c>
    </row>
    <row r="50" spans="1:11" x14ac:dyDescent="0.3">
      <c r="A50" t="s">
        <v>11</v>
      </c>
      <c r="B50">
        <v>13</v>
      </c>
      <c r="C50">
        <v>9</v>
      </c>
      <c r="D50">
        <v>1355882.2001953099</v>
      </c>
      <c r="E50">
        <v>2921624.1503906301</v>
      </c>
      <c r="F50">
        <v>706.72</v>
      </c>
      <c r="G50" t="s">
        <v>6</v>
      </c>
      <c r="H50">
        <v>1.5</v>
      </c>
      <c r="I50">
        <f t="shared" si="7"/>
        <v>0.99999336229927693</v>
      </c>
      <c r="J50" s="6">
        <f t="shared" si="7"/>
        <v>0.68302041211240305</v>
      </c>
      <c r="K50" s="2">
        <f>(J50*$N$2)/$M$2</f>
        <v>2.3284786776559194</v>
      </c>
    </row>
    <row r="51" spans="1:11" x14ac:dyDescent="0.3">
      <c r="A51" t="s">
        <v>11</v>
      </c>
      <c r="B51">
        <v>13</v>
      </c>
      <c r="C51">
        <v>11</v>
      </c>
      <c r="D51">
        <v>511610.68359375</v>
      </c>
      <c r="E51">
        <v>1008412.25390625</v>
      </c>
      <c r="F51">
        <v>721.61</v>
      </c>
      <c r="G51" t="s">
        <v>6</v>
      </c>
      <c r="H51">
        <v>1.5</v>
      </c>
      <c r="I51">
        <f t="shared" si="7"/>
        <v>0.9999784997384733</v>
      </c>
      <c r="J51" s="6">
        <f t="shared" si="7"/>
        <v>0.66341910311221863</v>
      </c>
      <c r="K51" s="2">
        <f>(J51*$N$2)/$M$2</f>
        <v>2.261656033337109</v>
      </c>
    </row>
    <row r="52" spans="1:11" x14ac:dyDescent="0.3">
      <c r="A52" t="s">
        <v>11</v>
      </c>
      <c r="B52">
        <v>2001</v>
      </c>
      <c r="C52">
        <v>2</v>
      </c>
      <c r="D52">
        <v>0</v>
      </c>
      <c r="E52">
        <v>0</v>
      </c>
      <c r="F52">
        <v>735.99</v>
      </c>
    </row>
    <row r="53" spans="1:11" x14ac:dyDescent="0.3">
      <c r="A53" t="s">
        <v>11</v>
      </c>
      <c r="B53">
        <v>2001</v>
      </c>
      <c r="C53">
        <v>3</v>
      </c>
      <c r="D53">
        <v>0</v>
      </c>
      <c r="E53">
        <v>0</v>
      </c>
      <c r="F53">
        <v>750.19</v>
      </c>
    </row>
    <row r="54" spans="1:11" x14ac:dyDescent="0.3">
      <c r="A54" t="s">
        <v>11</v>
      </c>
      <c r="B54">
        <v>2001</v>
      </c>
      <c r="C54">
        <v>2</v>
      </c>
      <c r="D54">
        <v>0</v>
      </c>
      <c r="E54">
        <v>0</v>
      </c>
      <c r="F54">
        <v>764.52</v>
      </c>
    </row>
    <row r="55" spans="1:11" x14ac:dyDescent="0.3">
      <c r="A55" t="s">
        <v>11</v>
      </c>
      <c r="B55">
        <v>2001</v>
      </c>
      <c r="C55">
        <v>3</v>
      </c>
      <c r="D55">
        <v>0</v>
      </c>
      <c r="E55">
        <v>0</v>
      </c>
      <c r="F55">
        <v>778.81</v>
      </c>
    </row>
    <row r="56" spans="1:11" x14ac:dyDescent="0.3">
      <c r="A56" t="s">
        <v>11</v>
      </c>
      <c r="B56">
        <v>12</v>
      </c>
      <c r="C56">
        <v>1</v>
      </c>
      <c r="D56">
        <v>0</v>
      </c>
      <c r="E56">
        <v>0</v>
      </c>
      <c r="F56">
        <v>793.66</v>
      </c>
      <c r="G56" t="s">
        <v>7</v>
      </c>
      <c r="H56">
        <v>3</v>
      </c>
      <c r="I56">
        <f t="shared" ref="I56:J58" si="8">D56/(C56+D56)</f>
        <v>0</v>
      </c>
      <c r="J56" s="6" t="e">
        <f t="shared" si="8"/>
        <v>#DIV/0!</v>
      </c>
      <c r="K56" s="2" t="e">
        <f>(J56*$N$2)/$M$2</f>
        <v>#DIV/0!</v>
      </c>
    </row>
    <row r="57" spans="1:11" x14ac:dyDescent="0.3">
      <c r="A57" t="s">
        <v>11</v>
      </c>
      <c r="B57">
        <v>12</v>
      </c>
      <c r="C57">
        <v>3</v>
      </c>
      <c r="D57">
        <v>0</v>
      </c>
      <c r="E57">
        <v>0</v>
      </c>
      <c r="F57">
        <v>808.54</v>
      </c>
      <c r="G57" t="s">
        <v>7</v>
      </c>
      <c r="H57">
        <v>3</v>
      </c>
      <c r="I57">
        <f t="shared" si="8"/>
        <v>0</v>
      </c>
      <c r="J57" s="6" t="e">
        <f t="shared" si="8"/>
        <v>#DIV/0!</v>
      </c>
      <c r="K57" s="2" t="e">
        <f>(J57*$N$2)/$M$2</f>
        <v>#DIV/0!</v>
      </c>
    </row>
    <row r="58" spans="1:11" x14ac:dyDescent="0.3">
      <c r="A58" t="s">
        <v>11</v>
      </c>
      <c r="B58">
        <v>12</v>
      </c>
      <c r="C58">
        <v>5</v>
      </c>
      <c r="D58">
        <v>4341201.8046875</v>
      </c>
      <c r="E58">
        <v>0</v>
      </c>
      <c r="F58">
        <v>823.4</v>
      </c>
      <c r="G58" t="s">
        <v>7</v>
      </c>
      <c r="H58">
        <v>3</v>
      </c>
      <c r="I58">
        <f t="shared" si="8"/>
        <v>0.99999884824653029</v>
      </c>
      <c r="J58" s="6">
        <f t="shared" si="8"/>
        <v>0</v>
      </c>
      <c r="K58" s="2">
        <f>(J58*$N$2)/$M$2</f>
        <v>0</v>
      </c>
    </row>
    <row r="59" spans="1:11" x14ac:dyDescent="0.3">
      <c r="A59" t="s">
        <v>11</v>
      </c>
      <c r="B59">
        <v>2001</v>
      </c>
      <c r="C59">
        <v>2</v>
      </c>
      <c r="D59">
        <v>0</v>
      </c>
      <c r="E59">
        <v>0</v>
      </c>
      <c r="F59">
        <v>837.9</v>
      </c>
    </row>
    <row r="60" spans="1:11" x14ac:dyDescent="0.3">
      <c r="A60" t="s">
        <v>11</v>
      </c>
      <c r="B60">
        <v>2001</v>
      </c>
      <c r="C60">
        <v>3</v>
      </c>
      <c r="D60">
        <v>0</v>
      </c>
      <c r="E60">
        <v>0</v>
      </c>
      <c r="F60">
        <v>852.1</v>
      </c>
    </row>
    <row r="61" spans="1:11" x14ac:dyDescent="0.3">
      <c r="A61" t="s">
        <v>11</v>
      </c>
      <c r="B61">
        <v>12</v>
      </c>
      <c r="C61">
        <v>7</v>
      </c>
      <c r="D61">
        <v>0</v>
      </c>
      <c r="E61">
        <v>0</v>
      </c>
      <c r="F61">
        <v>866.95</v>
      </c>
      <c r="G61" t="s">
        <v>6</v>
      </c>
      <c r="H61">
        <v>3</v>
      </c>
      <c r="I61">
        <f t="shared" ref="I61:J63" si="9">D61/(C61+D61)</f>
        <v>0</v>
      </c>
      <c r="J61" s="6" t="e">
        <f t="shared" si="9"/>
        <v>#DIV/0!</v>
      </c>
      <c r="K61" s="2" t="e">
        <f>(J61*$N$2)/$M$2</f>
        <v>#DIV/0!</v>
      </c>
    </row>
    <row r="62" spans="1:11" x14ac:dyDescent="0.3">
      <c r="A62" t="s">
        <v>11</v>
      </c>
      <c r="B62">
        <v>12</v>
      </c>
      <c r="C62">
        <v>9</v>
      </c>
      <c r="D62">
        <v>0</v>
      </c>
      <c r="E62">
        <v>0</v>
      </c>
      <c r="F62">
        <v>881.88</v>
      </c>
      <c r="G62" t="s">
        <v>6</v>
      </c>
      <c r="H62">
        <v>3</v>
      </c>
      <c r="I62">
        <f t="shared" si="9"/>
        <v>0</v>
      </c>
      <c r="J62" s="6" t="e">
        <f t="shared" si="9"/>
        <v>#DIV/0!</v>
      </c>
      <c r="K62" s="2" t="e">
        <f>(J62*$N$2)/$M$2</f>
        <v>#DIV/0!</v>
      </c>
    </row>
    <row r="63" spans="1:11" x14ac:dyDescent="0.3">
      <c r="A63" t="s">
        <v>11</v>
      </c>
      <c r="B63">
        <v>12</v>
      </c>
      <c r="C63">
        <v>11</v>
      </c>
      <c r="D63">
        <v>0</v>
      </c>
      <c r="E63">
        <v>0</v>
      </c>
      <c r="F63">
        <v>896.72</v>
      </c>
      <c r="G63" t="s">
        <v>6</v>
      </c>
      <c r="H63">
        <v>3</v>
      </c>
      <c r="I63">
        <f t="shared" si="9"/>
        <v>0</v>
      </c>
      <c r="J63" s="6" t="e">
        <f t="shared" si="9"/>
        <v>#DIV/0!</v>
      </c>
      <c r="K63" s="2" t="e">
        <f>(J63*$N$2)/$M$2</f>
        <v>#DIV/0!</v>
      </c>
    </row>
    <row r="64" spans="1:11" x14ac:dyDescent="0.3">
      <c r="A64" t="s">
        <v>11</v>
      </c>
      <c r="B64">
        <v>2001</v>
      </c>
      <c r="C64">
        <v>2</v>
      </c>
      <c r="D64">
        <v>0</v>
      </c>
      <c r="E64">
        <v>0</v>
      </c>
      <c r="F64">
        <v>911.18</v>
      </c>
    </row>
    <row r="65" spans="1:11" x14ac:dyDescent="0.3">
      <c r="A65" t="s">
        <v>11</v>
      </c>
      <c r="B65">
        <v>2001</v>
      </c>
      <c r="C65">
        <v>3</v>
      </c>
      <c r="D65">
        <v>0</v>
      </c>
      <c r="E65">
        <v>0</v>
      </c>
      <c r="F65">
        <v>925.42</v>
      </c>
    </row>
    <row r="66" spans="1:11" x14ac:dyDescent="0.3">
      <c r="A66" t="s">
        <v>11</v>
      </c>
      <c r="B66">
        <v>2001</v>
      </c>
      <c r="C66">
        <v>2</v>
      </c>
      <c r="D66">
        <v>0</v>
      </c>
      <c r="E66">
        <v>0</v>
      </c>
      <c r="F66">
        <v>939.76</v>
      </c>
    </row>
    <row r="67" spans="1:11" x14ac:dyDescent="0.3">
      <c r="A67" t="s">
        <v>11</v>
      </c>
      <c r="B67">
        <v>2001</v>
      </c>
      <c r="C67">
        <v>3</v>
      </c>
      <c r="D67">
        <v>0</v>
      </c>
      <c r="E67">
        <v>0</v>
      </c>
      <c r="F67">
        <v>953.97</v>
      </c>
    </row>
    <row r="68" spans="1:11" x14ac:dyDescent="0.3">
      <c r="A68" t="s">
        <v>11</v>
      </c>
      <c r="B68">
        <v>11</v>
      </c>
      <c r="C68">
        <v>1</v>
      </c>
      <c r="D68">
        <v>7853149.6347656297</v>
      </c>
      <c r="E68">
        <v>0</v>
      </c>
      <c r="F68">
        <v>968.83</v>
      </c>
      <c r="G68" t="s">
        <v>7</v>
      </c>
      <c r="H68">
        <v>5</v>
      </c>
      <c r="I68">
        <f t="shared" ref="I68:J70" si="10">D68/(C68+D68)</f>
        <v>0.9999998726625724</v>
      </c>
      <c r="J68" s="6">
        <f t="shared" si="10"/>
        <v>0</v>
      </c>
      <c r="K68" s="2">
        <f>(J68*$N$2)/$M$2</f>
        <v>0</v>
      </c>
    </row>
    <row r="69" spans="1:11" x14ac:dyDescent="0.3">
      <c r="A69" t="s">
        <v>11</v>
      </c>
      <c r="B69">
        <v>11</v>
      </c>
      <c r="C69">
        <v>3</v>
      </c>
      <c r="D69">
        <v>1383882.1904296901</v>
      </c>
      <c r="E69">
        <v>0</v>
      </c>
      <c r="F69">
        <v>983.79</v>
      </c>
      <c r="G69" t="s">
        <v>7</v>
      </c>
      <c r="H69">
        <v>5</v>
      </c>
      <c r="I69">
        <f t="shared" si="10"/>
        <v>0.99999783219011174</v>
      </c>
      <c r="J69" s="6">
        <f t="shared" si="10"/>
        <v>0</v>
      </c>
      <c r="K69" s="2">
        <f>(J69*$N$2)/$M$2</f>
        <v>0</v>
      </c>
    </row>
    <row r="70" spans="1:11" x14ac:dyDescent="0.3">
      <c r="A70" t="s">
        <v>11</v>
      </c>
      <c r="B70">
        <v>11</v>
      </c>
      <c r="C70">
        <v>5</v>
      </c>
      <c r="D70">
        <v>1996834.7104492199</v>
      </c>
      <c r="E70">
        <v>0</v>
      </c>
      <c r="F70">
        <v>998.64</v>
      </c>
      <c r="G70" t="s">
        <v>7</v>
      </c>
      <c r="H70">
        <v>5</v>
      </c>
      <c r="I70">
        <f t="shared" si="10"/>
        <v>0.99999749604338606</v>
      </c>
      <c r="J70" s="6">
        <f t="shared" si="10"/>
        <v>0</v>
      </c>
      <c r="K70" s="2">
        <f>(J70*$N$2)/$M$2</f>
        <v>0</v>
      </c>
    </row>
    <row r="71" spans="1:11" x14ac:dyDescent="0.3">
      <c r="A71" t="s">
        <v>11</v>
      </c>
      <c r="B71">
        <v>2001</v>
      </c>
      <c r="C71">
        <v>2</v>
      </c>
      <c r="D71">
        <v>0</v>
      </c>
      <c r="E71">
        <v>0</v>
      </c>
      <c r="F71">
        <v>1013.07</v>
      </c>
    </row>
    <row r="72" spans="1:11" x14ac:dyDescent="0.3">
      <c r="A72" t="s">
        <v>11</v>
      </c>
      <c r="B72">
        <v>2001</v>
      </c>
      <c r="C72">
        <v>3</v>
      </c>
      <c r="D72">
        <v>0</v>
      </c>
      <c r="E72">
        <v>0</v>
      </c>
      <c r="F72">
        <v>1027.24</v>
      </c>
    </row>
    <row r="73" spans="1:11" x14ac:dyDescent="0.3">
      <c r="A73" t="s">
        <v>11</v>
      </c>
      <c r="B73">
        <v>11</v>
      </c>
      <c r="C73">
        <v>7</v>
      </c>
      <c r="D73">
        <v>60201.1435546875</v>
      </c>
      <c r="E73">
        <v>2808558.4042968801</v>
      </c>
      <c r="F73">
        <v>1042.22</v>
      </c>
      <c r="G73" t="s">
        <v>6</v>
      </c>
      <c r="H73">
        <v>5</v>
      </c>
      <c r="I73">
        <f t="shared" ref="I73:J75" si="11">D73/(C73+D73)</f>
        <v>0.99988373665775554</v>
      </c>
      <c r="J73" s="6">
        <f t="shared" si="11"/>
        <v>0.97901492176304128</v>
      </c>
      <c r="K73" s="2">
        <f>(J73*$N$2)/$M$2</f>
        <v>3.3375508696467313</v>
      </c>
    </row>
    <row r="74" spans="1:11" x14ac:dyDescent="0.3">
      <c r="A74" t="s">
        <v>11</v>
      </c>
      <c r="B74">
        <v>11</v>
      </c>
      <c r="C74">
        <v>9</v>
      </c>
      <c r="D74">
        <v>89833.9091796875</v>
      </c>
      <c r="E74">
        <v>4226186.8212890597</v>
      </c>
      <c r="F74">
        <v>1057.06</v>
      </c>
      <c r="G74" t="s">
        <v>6</v>
      </c>
      <c r="H74">
        <v>5</v>
      </c>
      <c r="I74">
        <f t="shared" si="11"/>
        <v>0.99989982514945064</v>
      </c>
      <c r="J74" s="6">
        <f t="shared" si="11"/>
        <v>0.97918594121999714</v>
      </c>
      <c r="K74" s="2">
        <f>(J74*$N$2)/$M$2</f>
        <v>3.3381338905227174</v>
      </c>
    </row>
    <row r="75" spans="1:11" x14ac:dyDescent="0.3">
      <c r="A75" t="s">
        <v>11</v>
      </c>
      <c r="B75">
        <v>11</v>
      </c>
      <c r="C75">
        <v>11</v>
      </c>
      <c r="D75">
        <v>111124.01953125</v>
      </c>
      <c r="E75">
        <v>4220912.1333007803</v>
      </c>
      <c r="F75">
        <v>1072.01</v>
      </c>
      <c r="G75" t="s">
        <v>6</v>
      </c>
      <c r="H75">
        <v>5</v>
      </c>
      <c r="I75">
        <f t="shared" si="11"/>
        <v>0.99990102129781955</v>
      </c>
      <c r="J75" s="6">
        <f t="shared" si="11"/>
        <v>0.97434831667815058</v>
      </c>
      <c r="K75" s="2">
        <f>(J75*$N$2)/$M$2</f>
        <v>3.3216419886755135</v>
      </c>
    </row>
    <row r="76" spans="1:11" x14ac:dyDescent="0.3">
      <c r="A76" t="s">
        <v>11</v>
      </c>
      <c r="B76">
        <v>2001</v>
      </c>
      <c r="C76">
        <v>2</v>
      </c>
      <c r="D76">
        <v>0</v>
      </c>
      <c r="E76">
        <v>0</v>
      </c>
      <c r="F76">
        <v>1086.45</v>
      </c>
    </row>
    <row r="77" spans="1:11" x14ac:dyDescent="0.3">
      <c r="A77" t="s">
        <v>11</v>
      </c>
      <c r="B77">
        <v>2001</v>
      </c>
      <c r="C77">
        <v>3</v>
      </c>
      <c r="D77">
        <v>0</v>
      </c>
      <c r="E77">
        <v>0</v>
      </c>
      <c r="F77">
        <v>1100.6099999999999</v>
      </c>
    </row>
    <row r="78" spans="1:11" x14ac:dyDescent="0.3">
      <c r="A78" t="s">
        <v>11</v>
      </c>
      <c r="B78">
        <v>2001</v>
      </c>
      <c r="C78">
        <v>2</v>
      </c>
      <c r="D78">
        <v>0</v>
      </c>
      <c r="E78">
        <v>0</v>
      </c>
      <c r="F78">
        <v>1115.06</v>
      </c>
    </row>
    <row r="79" spans="1:11" x14ac:dyDescent="0.3">
      <c r="A79" t="s">
        <v>11</v>
      </c>
      <c r="B79">
        <v>2001</v>
      </c>
      <c r="C79">
        <v>3</v>
      </c>
      <c r="D79">
        <v>0</v>
      </c>
      <c r="E79">
        <v>0</v>
      </c>
      <c r="F79">
        <v>1129.22</v>
      </c>
    </row>
    <row r="80" spans="1:11" x14ac:dyDescent="0.3">
      <c r="A80" t="s">
        <v>11</v>
      </c>
      <c r="B80">
        <v>10</v>
      </c>
      <c r="C80">
        <v>1</v>
      </c>
      <c r="D80">
        <v>5363246.703125</v>
      </c>
      <c r="E80">
        <v>0</v>
      </c>
      <c r="F80">
        <v>1144.06</v>
      </c>
      <c r="G80" t="s">
        <v>7</v>
      </c>
      <c r="H80">
        <v>10</v>
      </c>
      <c r="I80">
        <f t="shared" ref="I80:J82" si="12">D80/(C80+D80)</f>
        <v>0.99999981354581113</v>
      </c>
      <c r="J80" s="6">
        <f t="shared" si="12"/>
        <v>0</v>
      </c>
      <c r="K80" s="2">
        <f>(J80*$N$2)/$M$2</f>
        <v>0</v>
      </c>
    </row>
    <row r="81" spans="1:11" x14ac:dyDescent="0.3">
      <c r="A81" t="s">
        <v>11</v>
      </c>
      <c r="B81">
        <v>10</v>
      </c>
      <c r="C81">
        <v>3</v>
      </c>
      <c r="D81">
        <v>5807883.4042968797</v>
      </c>
      <c r="E81">
        <v>0</v>
      </c>
      <c r="F81">
        <v>1158.92</v>
      </c>
      <c r="G81" t="s">
        <v>7</v>
      </c>
      <c r="H81">
        <v>10</v>
      </c>
      <c r="I81">
        <f t="shared" si="12"/>
        <v>0.99999948346097167</v>
      </c>
      <c r="J81" s="6">
        <f t="shared" si="12"/>
        <v>0</v>
      </c>
      <c r="K81" s="2">
        <f>(J81*$N$2)/$M$2</f>
        <v>0</v>
      </c>
    </row>
    <row r="82" spans="1:11" x14ac:dyDescent="0.3">
      <c r="A82" t="s">
        <v>11</v>
      </c>
      <c r="B82">
        <v>10</v>
      </c>
      <c r="C82">
        <v>5</v>
      </c>
      <c r="D82">
        <v>6729478.9667968797</v>
      </c>
      <c r="E82">
        <v>0</v>
      </c>
      <c r="F82">
        <v>1173.8900000000001</v>
      </c>
      <c r="G82" t="s">
        <v>7</v>
      </c>
      <c r="H82">
        <v>10</v>
      </c>
      <c r="I82">
        <f t="shared" si="12"/>
        <v>0.99999925700097891</v>
      </c>
      <c r="J82" s="6">
        <f t="shared" si="12"/>
        <v>0</v>
      </c>
      <c r="K82" s="2">
        <f>(J82*$N$2)/$M$2</f>
        <v>0</v>
      </c>
    </row>
    <row r="83" spans="1:11" x14ac:dyDescent="0.3">
      <c r="A83" t="s">
        <v>11</v>
      </c>
      <c r="B83">
        <v>2001</v>
      </c>
      <c r="C83">
        <v>2</v>
      </c>
      <c r="D83">
        <v>0</v>
      </c>
      <c r="E83">
        <v>0</v>
      </c>
      <c r="F83">
        <v>1188.33</v>
      </c>
    </row>
    <row r="84" spans="1:11" x14ac:dyDescent="0.3">
      <c r="A84" t="s">
        <v>11</v>
      </c>
      <c r="B84">
        <v>2001</v>
      </c>
      <c r="C84">
        <v>3</v>
      </c>
      <c r="D84">
        <v>0</v>
      </c>
      <c r="E84">
        <v>0</v>
      </c>
      <c r="F84">
        <v>1202.49</v>
      </c>
    </row>
    <row r="85" spans="1:11" x14ac:dyDescent="0.3">
      <c r="A85" t="s">
        <v>11</v>
      </c>
      <c r="B85">
        <v>10</v>
      </c>
      <c r="C85">
        <v>7</v>
      </c>
      <c r="D85">
        <v>62637.335449218801</v>
      </c>
      <c r="E85">
        <v>3154471.4331054701</v>
      </c>
      <c r="F85">
        <v>1217.3399999999999</v>
      </c>
      <c r="G85" t="s">
        <v>6</v>
      </c>
      <c r="H85">
        <v>10</v>
      </c>
      <c r="I85">
        <f t="shared" ref="I85:J87" si="13">D85/(C85+D85)</f>
        <v>0.99988825805318549</v>
      </c>
      <c r="J85" s="6">
        <f t="shared" si="13"/>
        <v>0.98052992921424942</v>
      </c>
      <c r="K85" s="2">
        <f>(J85*$N$2)/$M$2</f>
        <v>3.3427156677758503</v>
      </c>
    </row>
    <row r="86" spans="1:11" x14ac:dyDescent="0.3">
      <c r="A86" t="s">
        <v>11</v>
      </c>
      <c r="B86">
        <v>10</v>
      </c>
      <c r="C86">
        <v>9</v>
      </c>
      <c r="D86">
        <v>51893.227050781301</v>
      </c>
      <c r="E86">
        <v>3129877.4365234398</v>
      </c>
      <c r="F86">
        <v>1232.04</v>
      </c>
      <c r="G86" t="s">
        <v>6</v>
      </c>
      <c r="H86">
        <v>10</v>
      </c>
      <c r="I86">
        <f t="shared" si="13"/>
        <v>0.99982659703616972</v>
      </c>
      <c r="J86" s="6">
        <f t="shared" si="13"/>
        <v>0.98369045649805342</v>
      </c>
      <c r="K86" s="2">
        <f>(J86*$N$2)/$M$2</f>
        <v>3.353490192607</v>
      </c>
    </row>
    <row r="87" spans="1:11" x14ac:dyDescent="0.3">
      <c r="A87" t="s">
        <v>11</v>
      </c>
      <c r="B87">
        <v>10</v>
      </c>
      <c r="C87">
        <v>11</v>
      </c>
      <c r="D87">
        <v>73772.1484375</v>
      </c>
      <c r="E87">
        <v>4120560.4511718801</v>
      </c>
      <c r="F87">
        <v>1246.75</v>
      </c>
      <c r="G87" t="s">
        <v>6</v>
      </c>
      <c r="H87">
        <v>10</v>
      </c>
      <c r="I87">
        <f t="shared" si="13"/>
        <v>0.99985091446715213</v>
      </c>
      <c r="J87" s="6">
        <f t="shared" si="13"/>
        <v>0.9824114691227942</v>
      </c>
      <c r="K87" s="2">
        <f>(J87*$N$2)/$M$2</f>
        <v>3.3491300083731619</v>
      </c>
    </row>
    <row r="88" spans="1:11" x14ac:dyDescent="0.3">
      <c r="A88" t="s">
        <v>11</v>
      </c>
      <c r="B88">
        <v>2001</v>
      </c>
      <c r="C88">
        <v>2</v>
      </c>
      <c r="D88">
        <v>0</v>
      </c>
      <c r="E88">
        <v>0</v>
      </c>
      <c r="F88">
        <v>1261.22</v>
      </c>
    </row>
    <row r="89" spans="1:11" x14ac:dyDescent="0.3">
      <c r="A89" t="s">
        <v>11</v>
      </c>
      <c r="B89">
        <v>2001</v>
      </c>
      <c r="C89">
        <v>3</v>
      </c>
      <c r="D89">
        <v>0</v>
      </c>
      <c r="E89">
        <v>0</v>
      </c>
      <c r="F89">
        <v>1275.43</v>
      </c>
    </row>
    <row r="90" spans="1:11" x14ac:dyDescent="0.3">
      <c r="A90" t="s">
        <v>11</v>
      </c>
      <c r="B90">
        <v>2001</v>
      </c>
      <c r="C90">
        <v>2</v>
      </c>
      <c r="D90">
        <v>0</v>
      </c>
      <c r="E90">
        <v>0</v>
      </c>
      <c r="F90">
        <v>1289.76</v>
      </c>
    </row>
    <row r="91" spans="1:11" x14ac:dyDescent="0.3">
      <c r="A91" t="s">
        <v>11</v>
      </c>
      <c r="B91">
        <v>2001</v>
      </c>
      <c r="C91">
        <v>3</v>
      </c>
      <c r="D91">
        <v>0</v>
      </c>
      <c r="E91">
        <v>0</v>
      </c>
      <c r="F91">
        <v>1304.07</v>
      </c>
    </row>
    <row r="92" spans="1:11" x14ac:dyDescent="0.3">
      <c r="A92" t="s">
        <v>11</v>
      </c>
      <c r="B92">
        <v>9</v>
      </c>
      <c r="C92">
        <v>1</v>
      </c>
      <c r="D92">
        <v>7689160.9877929697</v>
      </c>
      <c r="E92">
        <v>0</v>
      </c>
      <c r="F92">
        <v>1318.9</v>
      </c>
      <c r="G92" t="s">
        <v>7</v>
      </c>
      <c r="H92">
        <v>20</v>
      </c>
      <c r="I92">
        <f t="shared" ref="I92:J94" si="14">D92/(C92+D92)</f>
        <v>0.99999986994681589</v>
      </c>
      <c r="J92" s="6">
        <f t="shared" si="14"/>
        <v>0</v>
      </c>
      <c r="K92" s="2">
        <f>(J92*$N$2)/$M$2</f>
        <v>0</v>
      </c>
    </row>
    <row r="93" spans="1:11" x14ac:dyDescent="0.3">
      <c r="A93" t="s">
        <v>11</v>
      </c>
      <c r="B93">
        <v>9</v>
      </c>
      <c r="C93">
        <v>3</v>
      </c>
      <c r="D93">
        <v>8096920.6347656297</v>
      </c>
      <c r="E93">
        <v>0</v>
      </c>
      <c r="F93">
        <v>1333.83</v>
      </c>
      <c r="G93" t="s">
        <v>7</v>
      </c>
      <c r="H93">
        <v>20</v>
      </c>
      <c r="I93">
        <f t="shared" si="14"/>
        <v>0.99999962948891019</v>
      </c>
      <c r="J93" s="6">
        <f t="shared" si="14"/>
        <v>0</v>
      </c>
      <c r="K93" s="2">
        <f>(J93*$N$2)/$M$2</f>
        <v>0</v>
      </c>
    </row>
    <row r="94" spans="1:11" x14ac:dyDescent="0.3">
      <c r="A94" t="s">
        <v>11</v>
      </c>
      <c r="B94">
        <v>9</v>
      </c>
      <c r="C94">
        <v>5</v>
      </c>
      <c r="D94">
        <v>6317245.2207031297</v>
      </c>
      <c r="E94">
        <v>0</v>
      </c>
      <c r="F94">
        <v>1348.68</v>
      </c>
      <c r="G94" t="s">
        <v>7</v>
      </c>
      <c r="H94">
        <v>20</v>
      </c>
      <c r="I94">
        <f t="shared" si="14"/>
        <v>0.99999920851639157</v>
      </c>
      <c r="J94" s="6">
        <f t="shared" si="14"/>
        <v>0</v>
      </c>
      <c r="K94" s="2">
        <f>(J94*$N$2)/$M$2</f>
        <v>0</v>
      </c>
    </row>
    <row r="95" spans="1:11" x14ac:dyDescent="0.3">
      <c r="A95" t="s">
        <v>11</v>
      </c>
      <c r="B95">
        <v>2001</v>
      </c>
      <c r="C95">
        <v>2</v>
      </c>
      <c r="D95">
        <v>0</v>
      </c>
      <c r="E95">
        <v>0</v>
      </c>
      <c r="F95">
        <v>1363.12</v>
      </c>
    </row>
    <row r="96" spans="1:11" x14ac:dyDescent="0.3">
      <c r="A96" t="s">
        <v>11</v>
      </c>
      <c r="B96">
        <v>2001</v>
      </c>
      <c r="C96">
        <v>3</v>
      </c>
      <c r="D96">
        <v>0</v>
      </c>
      <c r="E96">
        <v>0</v>
      </c>
      <c r="F96">
        <v>1377.32</v>
      </c>
    </row>
    <row r="97" spans="1:11" x14ac:dyDescent="0.3">
      <c r="A97" t="s">
        <v>11</v>
      </c>
      <c r="B97">
        <v>9</v>
      </c>
      <c r="C97">
        <v>7</v>
      </c>
      <c r="D97">
        <v>160727.55078125</v>
      </c>
      <c r="E97">
        <v>6491479.9511718797</v>
      </c>
      <c r="F97">
        <v>1392.16</v>
      </c>
      <c r="G97" t="s">
        <v>6</v>
      </c>
      <c r="H97">
        <v>20</v>
      </c>
      <c r="I97">
        <f t="shared" ref="I97:J99" si="15">D97/(C97+D97)</f>
        <v>0.99995644993583532</v>
      </c>
      <c r="J97" s="6">
        <f t="shared" si="15"/>
        <v>0.97583846403858276</v>
      </c>
      <c r="K97" s="2">
        <f>(J97*$N$2)/$M$2</f>
        <v>3.3267220364951684</v>
      </c>
    </row>
    <row r="98" spans="1:11" x14ac:dyDescent="0.3">
      <c r="A98" t="s">
        <v>11</v>
      </c>
      <c r="B98">
        <v>9</v>
      </c>
      <c r="C98">
        <v>9</v>
      </c>
      <c r="D98">
        <v>147058.20947265599</v>
      </c>
      <c r="E98">
        <v>5798008.1748046903</v>
      </c>
      <c r="F98">
        <v>1406.88</v>
      </c>
      <c r="G98" t="s">
        <v>6</v>
      </c>
      <c r="H98">
        <v>20</v>
      </c>
      <c r="I98">
        <f t="shared" si="15"/>
        <v>0.9999388034896951</v>
      </c>
      <c r="J98" s="6">
        <f t="shared" si="15"/>
        <v>0.975263823821787</v>
      </c>
      <c r="K98" s="2">
        <f>(J98*$N$2)/$M$2</f>
        <v>3.3247630357560918</v>
      </c>
    </row>
    <row r="99" spans="1:11" x14ac:dyDescent="0.3">
      <c r="A99" t="s">
        <v>11</v>
      </c>
      <c r="B99">
        <v>9</v>
      </c>
      <c r="C99">
        <v>11</v>
      </c>
      <c r="D99">
        <v>186906.576171875</v>
      </c>
      <c r="E99">
        <v>6938613.60400391</v>
      </c>
      <c r="F99">
        <v>1421.58</v>
      </c>
      <c r="G99" t="s">
        <v>6</v>
      </c>
      <c r="H99">
        <v>20</v>
      </c>
      <c r="I99">
        <f t="shared" si="15"/>
        <v>0.99994115053155896</v>
      </c>
      <c r="J99" s="6">
        <f t="shared" si="15"/>
        <v>0.97376941311711163</v>
      </c>
      <c r="K99" s="2">
        <f>(J99*$N$2)/$M$2</f>
        <v>3.319668453808335</v>
      </c>
    </row>
    <row r="100" spans="1:11" x14ac:dyDescent="0.3">
      <c r="A100" t="s">
        <v>11</v>
      </c>
      <c r="B100">
        <v>2001</v>
      </c>
      <c r="C100">
        <v>2</v>
      </c>
      <c r="D100">
        <v>0</v>
      </c>
      <c r="E100">
        <v>0</v>
      </c>
      <c r="F100">
        <v>1436.05</v>
      </c>
    </row>
    <row r="101" spans="1:11" x14ac:dyDescent="0.3">
      <c r="A101" t="s">
        <v>11</v>
      </c>
      <c r="B101">
        <v>2001</v>
      </c>
      <c r="C101">
        <v>3</v>
      </c>
      <c r="D101">
        <v>0</v>
      </c>
      <c r="E101">
        <v>0</v>
      </c>
      <c r="F101">
        <v>1450.24</v>
      </c>
    </row>
    <row r="102" spans="1:11" x14ac:dyDescent="0.3">
      <c r="A102" t="s">
        <v>11</v>
      </c>
      <c r="B102">
        <v>2001</v>
      </c>
      <c r="C102">
        <v>2</v>
      </c>
      <c r="D102">
        <v>0</v>
      </c>
      <c r="E102">
        <v>0</v>
      </c>
      <c r="F102">
        <v>1464.67</v>
      </c>
    </row>
    <row r="103" spans="1:11" x14ac:dyDescent="0.3">
      <c r="A103" t="s">
        <v>11</v>
      </c>
      <c r="B103">
        <v>2001</v>
      </c>
      <c r="C103">
        <v>3</v>
      </c>
      <c r="D103">
        <v>0</v>
      </c>
      <c r="E103">
        <v>0</v>
      </c>
      <c r="F103">
        <v>1478.85</v>
      </c>
    </row>
    <row r="104" spans="1:11" x14ac:dyDescent="0.3">
      <c r="A104" t="s">
        <v>11</v>
      </c>
      <c r="B104">
        <v>2001</v>
      </c>
      <c r="C104">
        <v>2</v>
      </c>
      <c r="D104">
        <v>0</v>
      </c>
      <c r="E104">
        <v>0</v>
      </c>
      <c r="F104">
        <v>1493.18</v>
      </c>
    </row>
    <row r="105" spans="1:11" x14ac:dyDescent="0.3">
      <c r="A105" t="s">
        <v>11</v>
      </c>
      <c r="B105">
        <v>2001</v>
      </c>
      <c r="C105">
        <v>3</v>
      </c>
      <c r="D105">
        <v>0</v>
      </c>
      <c r="E105">
        <v>0</v>
      </c>
      <c r="F105">
        <v>1507.26</v>
      </c>
    </row>
    <row r="106" spans="1:11" x14ac:dyDescent="0.3">
      <c r="A106" t="s">
        <v>11</v>
      </c>
      <c r="B106">
        <v>8</v>
      </c>
      <c r="C106">
        <v>1</v>
      </c>
      <c r="D106">
        <v>7170045.4458007803</v>
      </c>
      <c r="E106">
        <v>0</v>
      </c>
      <c r="F106">
        <v>1522.22</v>
      </c>
      <c r="G106" t="s">
        <v>7</v>
      </c>
      <c r="H106">
        <v>40</v>
      </c>
      <c r="I106">
        <f t="shared" ref="I106:J108" si="16">D106/(C106+D106)</f>
        <v>0.99999986053088952</v>
      </c>
      <c r="J106" s="6">
        <f t="shared" si="16"/>
        <v>0</v>
      </c>
      <c r="K106" s="2">
        <f>(J106*$N$2)/$M$2</f>
        <v>0</v>
      </c>
    </row>
    <row r="107" spans="1:11" x14ac:dyDescent="0.3">
      <c r="A107" t="s">
        <v>11</v>
      </c>
      <c r="B107">
        <v>8</v>
      </c>
      <c r="C107">
        <v>3</v>
      </c>
      <c r="D107">
        <v>9166681.4599609394</v>
      </c>
      <c r="E107">
        <v>0</v>
      </c>
      <c r="F107">
        <v>1537.18</v>
      </c>
      <c r="G107" t="s">
        <v>7</v>
      </c>
      <c r="H107">
        <v>40</v>
      </c>
      <c r="I107">
        <f t="shared" si="16"/>
        <v>0.99999967272790802</v>
      </c>
      <c r="J107" s="6">
        <f t="shared" si="16"/>
        <v>0</v>
      </c>
      <c r="K107" s="2">
        <f>(J107*$N$2)/$M$2</f>
        <v>0</v>
      </c>
    </row>
    <row r="108" spans="1:11" x14ac:dyDescent="0.3">
      <c r="A108" t="s">
        <v>11</v>
      </c>
      <c r="B108">
        <v>8</v>
      </c>
      <c r="C108">
        <v>5</v>
      </c>
      <c r="D108">
        <v>8471104.4033203106</v>
      </c>
      <c r="E108">
        <v>0</v>
      </c>
      <c r="F108">
        <v>1552.07</v>
      </c>
      <c r="G108" t="s">
        <v>7</v>
      </c>
      <c r="H108">
        <v>40</v>
      </c>
      <c r="I108">
        <f t="shared" si="16"/>
        <v>0.99999940975853785</v>
      </c>
      <c r="J108" s="6">
        <f t="shared" si="16"/>
        <v>0</v>
      </c>
      <c r="K108" s="2">
        <f>(J108*$N$2)/$M$2</f>
        <v>0</v>
      </c>
    </row>
    <row r="109" spans="1:11" x14ac:dyDescent="0.3">
      <c r="A109" t="s">
        <v>11</v>
      </c>
      <c r="B109">
        <v>2001</v>
      </c>
      <c r="C109">
        <v>2</v>
      </c>
      <c r="D109">
        <v>0</v>
      </c>
      <c r="E109">
        <v>0</v>
      </c>
      <c r="F109">
        <v>1566.39</v>
      </c>
    </row>
    <row r="110" spans="1:11" x14ac:dyDescent="0.3">
      <c r="A110" t="s">
        <v>11</v>
      </c>
      <c r="B110">
        <v>2001</v>
      </c>
      <c r="C110">
        <v>3</v>
      </c>
      <c r="D110">
        <v>0</v>
      </c>
      <c r="E110">
        <v>0</v>
      </c>
      <c r="F110">
        <v>1580.59</v>
      </c>
    </row>
    <row r="111" spans="1:11" x14ac:dyDescent="0.3">
      <c r="A111" t="s">
        <v>11</v>
      </c>
      <c r="B111">
        <v>2001</v>
      </c>
      <c r="C111">
        <v>2</v>
      </c>
      <c r="D111">
        <v>0</v>
      </c>
      <c r="E111">
        <v>0</v>
      </c>
      <c r="F111">
        <v>1595.08</v>
      </c>
    </row>
    <row r="112" spans="1:11" x14ac:dyDescent="0.3">
      <c r="A112" t="s">
        <v>11</v>
      </c>
      <c r="B112">
        <v>2001</v>
      </c>
      <c r="C112">
        <v>3</v>
      </c>
      <c r="D112">
        <v>0</v>
      </c>
      <c r="E112">
        <v>0</v>
      </c>
      <c r="F112">
        <v>1609.28</v>
      </c>
    </row>
    <row r="113" spans="1:11" x14ac:dyDescent="0.3">
      <c r="A113" t="s">
        <v>11</v>
      </c>
      <c r="B113">
        <v>8</v>
      </c>
      <c r="C113">
        <v>7</v>
      </c>
      <c r="D113">
        <v>166274.68359375</v>
      </c>
      <c r="E113">
        <v>6644376.5019531297</v>
      </c>
      <c r="F113">
        <v>1624.14</v>
      </c>
      <c r="G113" t="s">
        <v>6</v>
      </c>
      <c r="H113">
        <v>40</v>
      </c>
      <c r="I113">
        <f t="shared" ref="I113:J115" si="17">D113/(C113+D113)</f>
        <v>0.99995790275965024</v>
      </c>
      <c r="J113" s="6">
        <f t="shared" si="17"/>
        <v>0.97558608140927738</v>
      </c>
      <c r="K113" s="2">
        <f>(J113*$N$2)/$M$2</f>
        <v>3.3258616411679913</v>
      </c>
    </row>
    <row r="114" spans="1:11" x14ac:dyDescent="0.3">
      <c r="A114" t="s">
        <v>11</v>
      </c>
      <c r="B114">
        <v>8</v>
      </c>
      <c r="C114">
        <v>9</v>
      </c>
      <c r="D114">
        <v>98190.76171875</v>
      </c>
      <c r="E114">
        <v>5185544.68359375</v>
      </c>
      <c r="F114">
        <v>1638.83</v>
      </c>
      <c r="G114" t="s">
        <v>6</v>
      </c>
      <c r="H114">
        <v>40</v>
      </c>
      <c r="I114">
        <f t="shared" si="17"/>
        <v>0.99990835008311141</v>
      </c>
      <c r="J114" s="6">
        <f t="shared" si="17"/>
        <v>0.98141641216994302</v>
      </c>
      <c r="K114" s="2">
        <f>(J114*$N$2)/$M$2</f>
        <v>3.3457377687611687</v>
      </c>
    </row>
    <row r="115" spans="1:11" x14ac:dyDescent="0.3">
      <c r="A115" t="s">
        <v>11</v>
      </c>
      <c r="B115">
        <v>8</v>
      </c>
      <c r="C115">
        <v>11</v>
      </c>
      <c r="D115">
        <v>186677.052734375</v>
      </c>
      <c r="E115">
        <v>7768625.34765625</v>
      </c>
      <c r="F115">
        <v>1653.57</v>
      </c>
      <c r="G115" t="s">
        <v>6</v>
      </c>
      <c r="H115">
        <v>40</v>
      </c>
      <c r="I115">
        <f t="shared" si="17"/>
        <v>0.99994107817913958</v>
      </c>
      <c r="J115" s="6">
        <f t="shared" si="17"/>
        <v>0.97653426063034277</v>
      </c>
      <c r="K115" s="2">
        <f>(J115*$N$2)/$M$2</f>
        <v>3.3290940703307137</v>
      </c>
    </row>
    <row r="116" spans="1:11" x14ac:dyDescent="0.3">
      <c r="A116" t="s">
        <v>11</v>
      </c>
      <c r="B116">
        <v>2001</v>
      </c>
      <c r="C116">
        <v>2</v>
      </c>
      <c r="D116">
        <v>0</v>
      </c>
      <c r="E116">
        <v>0</v>
      </c>
      <c r="F116">
        <v>1667.99</v>
      </c>
    </row>
    <row r="117" spans="1:11" x14ac:dyDescent="0.3">
      <c r="A117" t="s">
        <v>11</v>
      </c>
      <c r="B117">
        <v>2001</v>
      </c>
      <c r="C117">
        <v>3</v>
      </c>
      <c r="D117">
        <v>0</v>
      </c>
      <c r="E117">
        <v>0</v>
      </c>
      <c r="F117">
        <v>1682.2</v>
      </c>
    </row>
    <row r="118" spans="1:11" x14ac:dyDescent="0.3">
      <c r="A118" t="s">
        <v>11</v>
      </c>
      <c r="B118">
        <v>2001</v>
      </c>
      <c r="C118">
        <v>2</v>
      </c>
      <c r="D118">
        <v>0</v>
      </c>
      <c r="E118">
        <v>0</v>
      </c>
      <c r="F118">
        <v>1696.64</v>
      </c>
    </row>
    <row r="119" spans="1:11" x14ac:dyDescent="0.3">
      <c r="A119" t="s">
        <v>11</v>
      </c>
      <c r="B119">
        <v>2001</v>
      </c>
      <c r="C119">
        <v>3</v>
      </c>
      <c r="D119">
        <v>0</v>
      </c>
      <c r="E119">
        <v>0</v>
      </c>
      <c r="F119">
        <v>1710.84</v>
      </c>
    </row>
    <row r="120" spans="1:11" x14ac:dyDescent="0.3">
      <c r="A120" t="s">
        <v>11</v>
      </c>
      <c r="B120">
        <v>7</v>
      </c>
      <c r="C120">
        <v>1</v>
      </c>
      <c r="D120">
        <v>6380929.0849609403</v>
      </c>
      <c r="E120">
        <v>0</v>
      </c>
      <c r="F120">
        <v>1725.66</v>
      </c>
      <c r="G120" t="s">
        <v>7</v>
      </c>
      <c r="H120">
        <v>60</v>
      </c>
      <c r="I120">
        <f t="shared" ref="I120:J122" si="18">D120/(C120+D120)</f>
        <v>0.99999984328303448</v>
      </c>
      <c r="J120" s="6">
        <f t="shared" si="18"/>
        <v>0</v>
      </c>
      <c r="K120" s="2">
        <f>(J120*$N$2)/$M$2</f>
        <v>0</v>
      </c>
    </row>
    <row r="121" spans="1:11" x14ac:dyDescent="0.3">
      <c r="A121" t="s">
        <v>11</v>
      </c>
      <c r="B121">
        <v>7</v>
      </c>
      <c r="C121">
        <v>3</v>
      </c>
      <c r="D121">
        <v>5885599.8261718797</v>
      </c>
      <c r="E121">
        <v>0</v>
      </c>
      <c r="F121">
        <v>1740.52</v>
      </c>
      <c r="G121" t="s">
        <v>7</v>
      </c>
      <c r="H121">
        <v>60</v>
      </c>
      <c r="I121">
        <f t="shared" si="18"/>
        <v>0.99999949028160939</v>
      </c>
      <c r="J121" s="6">
        <f t="shared" si="18"/>
        <v>0</v>
      </c>
      <c r="K121" s="2">
        <f>(J121*$N$2)/$M$2</f>
        <v>0</v>
      </c>
    </row>
    <row r="122" spans="1:11" x14ac:dyDescent="0.3">
      <c r="A122" t="s">
        <v>11</v>
      </c>
      <c r="B122">
        <v>7</v>
      </c>
      <c r="C122">
        <v>5</v>
      </c>
      <c r="D122">
        <v>3255211.26171875</v>
      </c>
      <c r="E122">
        <v>0</v>
      </c>
      <c r="F122">
        <v>1755.52</v>
      </c>
      <c r="G122" t="s">
        <v>7</v>
      </c>
      <c r="H122">
        <v>60</v>
      </c>
      <c r="I122">
        <f t="shared" si="18"/>
        <v>0.99999846400374104</v>
      </c>
      <c r="J122" s="6">
        <f t="shared" si="18"/>
        <v>0</v>
      </c>
      <c r="K122" s="2">
        <f>(J122*$N$2)/$M$2</f>
        <v>0</v>
      </c>
    </row>
    <row r="123" spans="1:11" x14ac:dyDescent="0.3">
      <c r="A123" t="s">
        <v>11</v>
      </c>
      <c r="B123">
        <v>2001</v>
      </c>
      <c r="C123">
        <v>2</v>
      </c>
      <c r="D123">
        <v>0</v>
      </c>
      <c r="E123">
        <v>0</v>
      </c>
      <c r="F123">
        <v>1769.96</v>
      </c>
    </row>
    <row r="124" spans="1:11" x14ac:dyDescent="0.3">
      <c r="A124" t="s">
        <v>11</v>
      </c>
      <c r="B124">
        <v>2001</v>
      </c>
      <c r="C124">
        <v>3</v>
      </c>
      <c r="D124">
        <v>0</v>
      </c>
      <c r="E124">
        <v>0</v>
      </c>
      <c r="F124">
        <v>1784.14</v>
      </c>
    </row>
    <row r="125" spans="1:11" x14ac:dyDescent="0.3">
      <c r="A125" t="s">
        <v>11</v>
      </c>
      <c r="B125">
        <v>2001</v>
      </c>
      <c r="C125">
        <v>2</v>
      </c>
      <c r="D125">
        <v>0</v>
      </c>
      <c r="E125">
        <v>0</v>
      </c>
      <c r="F125">
        <v>1798.45</v>
      </c>
    </row>
    <row r="126" spans="1:11" x14ac:dyDescent="0.3">
      <c r="A126" t="s">
        <v>11</v>
      </c>
      <c r="B126">
        <v>2001</v>
      </c>
      <c r="C126">
        <v>3</v>
      </c>
      <c r="D126">
        <v>0</v>
      </c>
      <c r="E126">
        <v>0</v>
      </c>
      <c r="F126">
        <v>1812.66</v>
      </c>
    </row>
    <row r="127" spans="1:11" x14ac:dyDescent="0.3">
      <c r="A127" t="s">
        <v>11</v>
      </c>
      <c r="B127">
        <v>7</v>
      </c>
      <c r="C127">
        <v>7</v>
      </c>
      <c r="D127">
        <v>0</v>
      </c>
      <c r="E127">
        <v>2071412.0097656299</v>
      </c>
      <c r="F127">
        <v>1827.54</v>
      </c>
      <c r="G127" t="s">
        <v>6</v>
      </c>
      <c r="H127">
        <v>60</v>
      </c>
      <c r="I127">
        <f t="shared" ref="I127:J129" si="19">D127/(C127+D127)</f>
        <v>0</v>
      </c>
      <c r="J127" s="6">
        <f t="shared" si="19"/>
        <v>1</v>
      </c>
      <c r="K127" s="2">
        <f>(J127*$N$2)/$M$2</f>
        <v>3.4090909090909087</v>
      </c>
    </row>
    <row r="128" spans="1:11" x14ac:dyDescent="0.3">
      <c r="A128" t="s">
        <v>11</v>
      </c>
      <c r="B128">
        <v>7</v>
      </c>
      <c r="C128">
        <v>9</v>
      </c>
      <c r="D128">
        <v>95720.97265625</v>
      </c>
      <c r="E128">
        <v>6034208.265625</v>
      </c>
      <c r="F128">
        <v>1842.25</v>
      </c>
      <c r="G128" t="s">
        <v>6</v>
      </c>
      <c r="H128">
        <v>60</v>
      </c>
      <c r="I128">
        <f t="shared" si="19"/>
        <v>0.99990598555760257</v>
      </c>
      <c r="J128" s="6">
        <f t="shared" si="19"/>
        <v>0.98438465291597899</v>
      </c>
      <c r="K128" s="2">
        <f>(J128*$N$2)/$M$2</f>
        <v>3.3558567713044738</v>
      </c>
    </row>
    <row r="129" spans="1:11" x14ac:dyDescent="0.3">
      <c r="A129" t="s">
        <v>11</v>
      </c>
      <c r="B129">
        <v>7</v>
      </c>
      <c r="C129">
        <v>11</v>
      </c>
      <c r="D129">
        <v>0</v>
      </c>
      <c r="E129">
        <v>1904648.4013671901</v>
      </c>
      <c r="F129">
        <v>1856.87</v>
      </c>
      <c r="G129" t="s">
        <v>6</v>
      </c>
      <c r="H129">
        <v>60</v>
      </c>
      <c r="I129">
        <f t="shared" si="19"/>
        <v>0</v>
      </c>
      <c r="J129" s="6">
        <f t="shared" si="19"/>
        <v>1</v>
      </c>
      <c r="K129" s="2">
        <f>(J129*$N$2)/$M$2</f>
        <v>3.4090909090909087</v>
      </c>
    </row>
    <row r="130" spans="1:11" x14ac:dyDescent="0.3">
      <c r="A130" t="s">
        <v>11</v>
      </c>
      <c r="B130">
        <v>2001</v>
      </c>
      <c r="C130">
        <v>2</v>
      </c>
      <c r="D130">
        <v>0</v>
      </c>
      <c r="E130">
        <v>0</v>
      </c>
      <c r="F130">
        <v>1871.31</v>
      </c>
    </row>
    <row r="131" spans="1:11" x14ac:dyDescent="0.3">
      <c r="A131" t="s">
        <v>11</v>
      </c>
      <c r="B131">
        <v>2001</v>
      </c>
      <c r="C131">
        <v>3</v>
      </c>
      <c r="D131">
        <v>0</v>
      </c>
      <c r="E131">
        <v>0</v>
      </c>
      <c r="F131">
        <v>1885.49</v>
      </c>
    </row>
    <row r="132" spans="1:11" x14ac:dyDescent="0.3">
      <c r="A132" t="s">
        <v>11</v>
      </c>
      <c r="B132">
        <v>2001</v>
      </c>
      <c r="C132">
        <v>2</v>
      </c>
      <c r="D132">
        <v>0</v>
      </c>
      <c r="E132">
        <v>0</v>
      </c>
      <c r="F132">
        <v>1899.92</v>
      </c>
    </row>
    <row r="133" spans="1:11" x14ac:dyDescent="0.3">
      <c r="A133" t="s">
        <v>11</v>
      </c>
      <c r="B133">
        <v>2001</v>
      </c>
      <c r="C133">
        <v>3</v>
      </c>
      <c r="D133">
        <v>0</v>
      </c>
      <c r="E133">
        <v>0</v>
      </c>
      <c r="F133">
        <v>1914.1</v>
      </c>
    </row>
    <row r="134" spans="1:11" x14ac:dyDescent="0.3">
      <c r="A134" t="s">
        <v>11</v>
      </c>
      <c r="B134">
        <v>6</v>
      </c>
      <c r="C134">
        <v>1</v>
      </c>
      <c r="D134">
        <v>1681876.4365234401</v>
      </c>
      <c r="E134">
        <v>0</v>
      </c>
      <c r="F134">
        <v>1929.02</v>
      </c>
      <c r="G134" t="s">
        <v>7</v>
      </c>
      <c r="H134">
        <v>90</v>
      </c>
      <c r="I134">
        <f t="shared" ref="I134:J136" si="20">D134/(C134+D134)</f>
        <v>0.99999940542635368</v>
      </c>
      <c r="J134" s="6">
        <f t="shared" si="20"/>
        <v>0</v>
      </c>
      <c r="K134" s="2">
        <f>(J134*$N$2)/$M$2</f>
        <v>0</v>
      </c>
    </row>
    <row r="135" spans="1:11" x14ac:dyDescent="0.3">
      <c r="A135" t="s">
        <v>11</v>
      </c>
      <c r="B135">
        <v>6</v>
      </c>
      <c r="C135">
        <v>3</v>
      </c>
      <c r="D135">
        <v>5682299.8325195303</v>
      </c>
      <c r="E135">
        <v>0</v>
      </c>
      <c r="F135">
        <v>1943.89</v>
      </c>
      <c r="G135" t="s">
        <v>7</v>
      </c>
      <c r="H135">
        <v>90</v>
      </c>
      <c r="I135">
        <f t="shared" si="20"/>
        <v>0.99999947204503381</v>
      </c>
      <c r="J135" s="6">
        <f t="shared" si="20"/>
        <v>0</v>
      </c>
      <c r="K135" s="2">
        <f>(J135*$N$2)/$M$2</f>
        <v>0</v>
      </c>
    </row>
    <row r="136" spans="1:11" x14ac:dyDescent="0.3">
      <c r="A136" t="s">
        <v>11</v>
      </c>
      <c r="B136">
        <v>6</v>
      </c>
      <c r="C136">
        <v>5</v>
      </c>
      <c r="D136">
        <v>1548711.1152343799</v>
      </c>
      <c r="E136">
        <v>0</v>
      </c>
      <c r="F136">
        <v>1958.89</v>
      </c>
      <c r="G136" t="s">
        <v>7</v>
      </c>
      <c r="H136">
        <v>90</v>
      </c>
      <c r="I136">
        <f t="shared" si="20"/>
        <v>0.99999677151935673</v>
      </c>
      <c r="J136" s="6">
        <f t="shared" si="20"/>
        <v>0</v>
      </c>
      <c r="K136" s="2">
        <f>(J136*$N$2)/$M$2</f>
        <v>0</v>
      </c>
    </row>
    <row r="137" spans="1:11" x14ac:dyDescent="0.3">
      <c r="A137" t="s">
        <v>11</v>
      </c>
      <c r="B137">
        <v>2001</v>
      </c>
      <c r="C137">
        <v>2</v>
      </c>
      <c r="D137">
        <v>0</v>
      </c>
      <c r="E137">
        <v>0</v>
      </c>
      <c r="F137">
        <v>1973.18</v>
      </c>
    </row>
    <row r="138" spans="1:11" x14ac:dyDescent="0.3">
      <c r="A138" t="s">
        <v>11</v>
      </c>
      <c r="B138">
        <v>2001</v>
      </c>
      <c r="C138">
        <v>3</v>
      </c>
      <c r="D138">
        <v>0</v>
      </c>
      <c r="E138">
        <v>0</v>
      </c>
      <c r="F138">
        <v>1987.5</v>
      </c>
    </row>
    <row r="139" spans="1:11" x14ac:dyDescent="0.3">
      <c r="A139" t="s">
        <v>11</v>
      </c>
      <c r="B139">
        <v>2001</v>
      </c>
      <c r="C139">
        <v>2</v>
      </c>
      <c r="D139">
        <v>0</v>
      </c>
      <c r="E139">
        <v>0</v>
      </c>
      <c r="F139">
        <v>2001.83</v>
      </c>
    </row>
    <row r="140" spans="1:11" x14ac:dyDescent="0.3">
      <c r="A140" t="s">
        <v>11</v>
      </c>
      <c r="B140">
        <v>2001</v>
      </c>
      <c r="C140">
        <v>3</v>
      </c>
      <c r="D140">
        <v>0</v>
      </c>
      <c r="E140">
        <v>0</v>
      </c>
      <c r="F140">
        <v>2016.04</v>
      </c>
    </row>
    <row r="141" spans="1:11" x14ac:dyDescent="0.3">
      <c r="A141" t="s">
        <v>11</v>
      </c>
      <c r="B141">
        <v>6</v>
      </c>
      <c r="C141">
        <v>7</v>
      </c>
      <c r="D141">
        <v>102665.97167968799</v>
      </c>
      <c r="E141">
        <v>6256922.4487304697</v>
      </c>
      <c r="F141">
        <v>2030.92</v>
      </c>
      <c r="G141" t="s">
        <v>6</v>
      </c>
      <c r="H141">
        <v>90</v>
      </c>
      <c r="I141">
        <f t="shared" ref="I141:J143" si="21">D141/(C141+D141)</f>
        <v>0.99993182236877454</v>
      </c>
      <c r="J141" s="6">
        <f t="shared" si="21"/>
        <v>0.98385650691635995</v>
      </c>
      <c r="K141" s="2">
        <f>(J141*$N$2)/$M$2</f>
        <v>3.3540562735784998</v>
      </c>
    </row>
    <row r="142" spans="1:11" x14ac:dyDescent="0.3">
      <c r="A142" t="s">
        <v>11</v>
      </c>
      <c r="B142">
        <v>6</v>
      </c>
      <c r="C142">
        <v>9</v>
      </c>
      <c r="D142">
        <v>71693.0009765625</v>
      </c>
      <c r="E142">
        <v>5292479.71875</v>
      </c>
      <c r="F142">
        <v>2045.66</v>
      </c>
      <c r="G142" t="s">
        <v>6</v>
      </c>
      <c r="H142">
        <v>90</v>
      </c>
      <c r="I142">
        <f t="shared" si="21"/>
        <v>0.99987448049039884</v>
      </c>
      <c r="J142" s="6">
        <f t="shared" si="21"/>
        <v>0.98663484478922281</v>
      </c>
      <c r="K142" s="2">
        <f>(J142*$N$2)/$M$2</f>
        <v>3.3635278799632591</v>
      </c>
    </row>
    <row r="143" spans="1:11" x14ac:dyDescent="0.3">
      <c r="A143" t="s">
        <v>11</v>
      </c>
      <c r="B143">
        <v>6</v>
      </c>
      <c r="C143">
        <v>11</v>
      </c>
      <c r="D143">
        <v>90221.5625</v>
      </c>
      <c r="E143">
        <v>5519816.04296875</v>
      </c>
      <c r="F143">
        <v>2060.34</v>
      </c>
      <c r="G143" t="s">
        <v>6</v>
      </c>
      <c r="H143">
        <v>90</v>
      </c>
      <c r="I143">
        <f t="shared" si="21"/>
        <v>0.99987809278939632</v>
      </c>
      <c r="J143" s="6">
        <f t="shared" si="21"/>
        <v>0.98391783284802747</v>
      </c>
      <c r="K143" s="2">
        <f>(J143*$N$2)/$M$2</f>
        <v>3.3542653392546393</v>
      </c>
    </row>
    <row r="144" spans="1:11" x14ac:dyDescent="0.3">
      <c r="A144" t="s">
        <v>11</v>
      </c>
      <c r="B144">
        <v>2001</v>
      </c>
      <c r="C144">
        <v>2</v>
      </c>
      <c r="D144">
        <v>0</v>
      </c>
      <c r="E144">
        <v>0</v>
      </c>
      <c r="F144">
        <v>2074.6799999999998</v>
      </c>
    </row>
    <row r="145" spans="1:11" x14ac:dyDescent="0.3">
      <c r="A145" t="s">
        <v>11</v>
      </c>
      <c r="B145">
        <v>2001</v>
      </c>
      <c r="C145">
        <v>3</v>
      </c>
      <c r="D145">
        <v>0</v>
      </c>
      <c r="E145">
        <v>0</v>
      </c>
      <c r="F145">
        <v>2088.87</v>
      </c>
    </row>
    <row r="146" spans="1:11" x14ac:dyDescent="0.3">
      <c r="A146" t="s">
        <v>11</v>
      </c>
      <c r="B146">
        <v>2001</v>
      </c>
      <c r="C146">
        <v>2</v>
      </c>
      <c r="D146">
        <v>0</v>
      </c>
      <c r="E146">
        <v>0</v>
      </c>
      <c r="F146">
        <v>2103.29</v>
      </c>
    </row>
    <row r="147" spans="1:11" x14ac:dyDescent="0.3">
      <c r="A147" t="s">
        <v>11</v>
      </c>
      <c r="B147">
        <v>2001</v>
      </c>
      <c r="C147">
        <v>3</v>
      </c>
      <c r="D147">
        <v>0</v>
      </c>
      <c r="E147">
        <v>0</v>
      </c>
      <c r="F147">
        <v>2117.5</v>
      </c>
    </row>
    <row r="148" spans="1:11" x14ac:dyDescent="0.3">
      <c r="A148" t="s">
        <v>11</v>
      </c>
      <c r="B148">
        <v>2001</v>
      </c>
      <c r="C148">
        <v>2</v>
      </c>
      <c r="D148">
        <v>0</v>
      </c>
      <c r="E148">
        <v>0</v>
      </c>
      <c r="F148">
        <v>2131.9499999999998</v>
      </c>
    </row>
    <row r="149" spans="1:11" x14ac:dyDescent="0.3">
      <c r="A149" t="s">
        <v>11</v>
      </c>
      <c r="B149">
        <v>2001</v>
      </c>
      <c r="C149">
        <v>3</v>
      </c>
      <c r="D149">
        <v>0</v>
      </c>
      <c r="E149">
        <v>0</v>
      </c>
      <c r="F149">
        <v>2146.0300000000002</v>
      </c>
    </row>
    <row r="150" spans="1:11" x14ac:dyDescent="0.3">
      <c r="A150" t="s">
        <v>11</v>
      </c>
      <c r="B150">
        <v>5</v>
      </c>
      <c r="C150">
        <v>1</v>
      </c>
      <c r="D150">
        <v>8034138.3417968797</v>
      </c>
      <c r="E150">
        <v>0</v>
      </c>
      <c r="F150">
        <v>2161</v>
      </c>
      <c r="G150" t="s">
        <v>7</v>
      </c>
      <c r="H150">
        <v>120</v>
      </c>
      <c r="I150">
        <f t="shared" ref="I150:J152" si="22">D150/(C150+D150)</f>
        <v>0.99999987553116054</v>
      </c>
      <c r="J150" s="6">
        <f t="shared" si="22"/>
        <v>0</v>
      </c>
      <c r="K150" s="2">
        <f>(J150*$N$2)/$M$2</f>
        <v>0</v>
      </c>
    </row>
    <row r="151" spans="1:11" x14ac:dyDescent="0.3">
      <c r="A151" t="s">
        <v>11</v>
      </c>
      <c r="B151">
        <v>5</v>
      </c>
      <c r="C151">
        <v>3</v>
      </c>
      <c r="D151">
        <v>3965171.9052734398</v>
      </c>
      <c r="E151">
        <v>0</v>
      </c>
      <c r="F151">
        <v>2175.94</v>
      </c>
      <c r="G151" t="s">
        <v>7</v>
      </c>
      <c r="H151">
        <v>120</v>
      </c>
      <c r="I151">
        <f t="shared" si="22"/>
        <v>0.99999924341294599</v>
      </c>
      <c r="J151" s="6">
        <f t="shared" si="22"/>
        <v>0</v>
      </c>
      <c r="K151" s="2">
        <f>(J151*$N$2)/$M$2</f>
        <v>0</v>
      </c>
    </row>
    <row r="152" spans="1:11" x14ac:dyDescent="0.3">
      <c r="A152" t="s">
        <v>11</v>
      </c>
      <c r="B152">
        <v>5</v>
      </c>
      <c r="C152">
        <v>5</v>
      </c>
      <c r="D152">
        <v>4813662.96484375</v>
      </c>
      <c r="E152">
        <v>0</v>
      </c>
      <c r="F152">
        <v>2190.7600000000002</v>
      </c>
      <c r="G152" t="s">
        <v>7</v>
      </c>
      <c r="H152">
        <v>120</v>
      </c>
      <c r="I152">
        <f t="shared" si="22"/>
        <v>0.99999896129104948</v>
      </c>
      <c r="J152" s="6">
        <f t="shared" si="22"/>
        <v>0</v>
      </c>
      <c r="K152" s="2">
        <f>(J152*$N$2)/$M$2</f>
        <v>0</v>
      </c>
    </row>
    <row r="153" spans="1:11" x14ac:dyDescent="0.3">
      <c r="A153" t="s">
        <v>11</v>
      </c>
      <c r="B153">
        <v>2001</v>
      </c>
      <c r="C153">
        <v>2</v>
      </c>
      <c r="D153">
        <v>0</v>
      </c>
      <c r="E153">
        <v>0</v>
      </c>
      <c r="F153">
        <v>2205.2199999999998</v>
      </c>
    </row>
    <row r="154" spans="1:11" x14ac:dyDescent="0.3">
      <c r="A154" t="s">
        <v>11</v>
      </c>
      <c r="B154">
        <v>2001</v>
      </c>
      <c r="C154">
        <v>3</v>
      </c>
      <c r="D154">
        <v>0</v>
      </c>
      <c r="E154">
        <v>0</v>
      </c>
      <c r="F154">
        <v>2219.4299999999998</v>
      </c>
    </row>
    <row r="155" spans="1:11" x14ac:dyDescent="0.3">
      <c r="A155" t="s">
        <v>11</v>
      </c>
      <c r="B155">
        <v>5</v>
      </c>
      <c r="C155">
        <v>7</v>
      </c>
      <c r="D155">
        <v>60786.148925781301</v>
      </c>
      <c r="E155">
        <v>4860495.4228515597</v>
      </c>
      <c r="F155">
        <v>2234.2800000000002</v>
      </c>
      <c r="G155" t="s">
        <v>6</v>
      </c>
      <c r="H155">
        <v>120</v>
      </c>
      <c r="I155">
        <f t="shared" ref="I155:J157" si="23">D155/(C155+D155)</f>
        <v>0.99988485544631767</v>
      </c>
      <c r="J155" s="6">
        <f t="shared" si="23"/>
        <v>0.98764830907575396</v>
      </c>
      <c r="K155" s="2">
        <f>(J155*$N$2)/$M$2</f>
        <v>3.366982871849161</v>
      </c>
    </row>
    <row r="156" spans="1:11" x14ac:dyDescent="0.3">
      <c r="A156" t="s">
        <v>11</v>
      </c>
      <c r="B156">
        <v>5</v>
      </c>
      <c r="C156">
        <v>9</v>
      </c>
      <c r="D156">
        <v>0</v>
      </c>
      <c r="E156">
        <v>2093596.10791016</v>
      </c>
      <c r="F156">
        <v>2248.9699999999998</v>
      </c>
      <c r="G156" t="s">
        <v>6</v>
      </c>
      <c r="H156">
        <v>120</v>
      </c>
      <c r="I156">
        <f t="shared" si="23"/>
        <v>0</v>
      </c>
      <c r="J156" s="6">
        <f t="shared" si="23"/>
        <v>1</v>
      </c>
      <c r="K156" s="2">
        <f>(J156*$N$2)/$M$2</f>
        <v>3.4090909090909087</v>
      </c>
    </row>
    <row r="157" spans="1:11" x14ac:dyDescent="0.3">
      <c r="A157" t="s">
        <v>11</v>
      </c>
      <c r="B157">
        <v>5</v>
      </c>
      <c r="C157">
        <v>11</v>
      </c>
      <c r="D157">
        <v>0</v>
      </c>
      <c r="E157">
        <v>1770337.8535156299</v>
      </c>
      <c r="F157">
        <v>2263.69</v>
      </c>
      <c r="G157" t="s">
        <v>6</v>
      </c>
      <c r="H157">
        <v>120</v>
      </c>
      <c r="I157">
        <f t="shared" si="23"/>
        <v>0</v>
      </c>
      <c r="J157" s="6">
        <f t="shared" si="23"/>
        <v>1</v>
      </c>
      <c r="K157" s="2">
        <f>(J157*$N$2)/$M$2</f>
        <v>3.4090909090909087</v>
      </c>
    </row>
    <row r="158" spans="1:11" x14ac:dyDescent="0.3">
      <c r="A158" t="s">
        <v>11</v>
      </c>
      <c r="B158">
        <v>2001</v>
      </c>
      <c r="C158">
        <v>2</v>
      </c>
      <c r="D158">
        <v>0</v>
      </c>
      <c r="E158">
        <v>0</v>
      </c>
      <c r="F158">
        <v>2278.13</v>
      </c>
    </row>
    <row r="159" spans="1:11" x14ac:dyDescent="0.3">
      <c r="A159" t="s">
        <v>11</v>
      </c>
      <c r="B159">
        <v>2001</v>
      </c>
      <c r="C159">
        <v>3</v>
      </c>
      <c r="D159">
        <v>0</v>
      </c>
      <c r="E159">
        <v>0</v>
      </c>
      <c r="F159">
        <v>2292.35</v>
      </c>
    </row>
    <row r="160" spans="1:11" x14ac:dyDescent="0.3">
      <c r="A160" t="s">
        <v>11</v>
      </c>
      <c r="B160">
        <v>2001</v>
      </c>
      <c r="C160">
        <v>2</v>
      </c>
      <c r="D160">
        <v>0</v>
      </c>
      <c r="E160">
        <v>0</v>
      </c>
      <c r="F160">
        <v>2306.69</v>
      </c>
    </row>
    <row r="161" spans="1:11" x14ac:dyDescent="0.3">
      <c r="A161" t="s">
        <v>11</v>
      </c>
      <c r="B161">
        <v>2001</v>
      </c>
      <c r="C161">
        <v>3</v>
      </c>
      <c r="D161">
        <v>0</v>
      </c>
      <c r="E161">
        <v>0</v>
      </c>
      <c r="F161">
        <v>2320.85</v>
      </c>
    </row>
    <row r="162" spans="1:11" x14ac:dyDescent="0.3">
      <c r="A162" t="s">
        <v>11</v>
      </c>
      <c r="B162">
        <v>4</v>
      </c>
      <c r="C162">
        <v>1</v>
      </c>
      <c r="D162">
        <v>5054.55029296875</v>
      </c>
      <c r="E162">
        <v>0</v>
      </c>
      <c r="F162">
        <v>2335.79</v>
      </c>
      <c r="G162" t="s">
        <v>7</v>
      </c>
      <c r="H162">
        <v>300</v>
      </c>
      <c r="I162">
        <f t="shared" ref="I162:J164" si="24">D162/(C162+D162)</f>
        <v>0.99980219759629518</v>
      </c>
      <c r="J162" s="6">
        <f t="shared" si="24"/>
        <v>0</v>
      </c>
      <c r="K162" s="2">
        <f>(J162*$N$2)/$M$2</f>
        <v>0</v>
      </c>
    </row>
    <row r="163" spans="1:11" x14ac:dyDescent="0.3">
      <c r="A163" t="s">
        <v>11</v>
      </c>
      <c r="B163">
        <v>4</v>
      </c>
      <c r="C163">
        <v>3</v>
      </c>
      <c r="D163">
        <v>0</v>
      </c>
      <c r="E163">
        <v>0</v>
      </c>
      <c r="F163">
        <v>2350.7600000000002</v>
      </c>
      <c r="G163" t="s">
        <v>7</v>
      </c>
      <c r="H163">
        <v>300</v>
      </c>
      <c r="I163">
        <f t="shared" si="24"/>
        <v>0</v>
      </c>
      <c r="J163" s="6" t="e">
        <f t="shared" si="24"/>
        <v>#DIV/0!</v>
      </c>
      <c r="K163" s="2" t="e">
        <f>(J163*$N$2)/$M$2</f>
        <v>#DIV/0!</v>
      </c>
    </row>
    <row r="164" spans="1:11" x14ac:dyDescent="0.3">
      <c r="A164" t="s">
        <v>11</v>
      </c>
      <c r="B164">
        <v>4</v>
      </c>
      <c r="C164">
        <v>5</v>
      </c>
      <c r="D164">
        <v>0</v>
      </c>
      <c r="E164">
        <v>0</v>
      </c>
      <c r="F164">
        <v>2365.6</v>
      </c>
      <c r="G164" t="s">
        <v>7</v>
      </c>
      <c r="H164">
        <v>300</v>
      </c>
      <c r="I164">
        <f t="shared" si="24"/>
        <v>0</v>
      </c>
      <c r="J164" s="6" t="e">
        <f t="shared" si="24"/>
        <v>#DIV/0!</v>
      </c>
      <c r="K164" s="2" t="e">
        <f>(J164*$N$2)/$M$2</f>
        <v>#DIV/0!</v>
      </c>
    </row>
    <row r="165" spans="1:11" x14ac:dyDescent="0.3">
      <c r="A165" t="s">
        <v>11</v>
      </c>
      <c r="B165">
        <v>2001</v>
      </c>
      <c r="C165">
        <v>2</v>
      </c>
      <c r="D165">
        <v>0</v>
      </c>
      <c r="E165">
        <v>0</v>
      </c>
      <c r="F165">
        <v>2380.04</v>
      </c>
    </row>
    <row r="166" spans="1:11" x14ac:dyDescent="0.3">
      <c r="A166" t="s">
        <v>11</v>
      </c>
      <c r="B166">
        <v>2001</v>
      </c>
      <c r="C166">
        <v>3</v>
      </c>
      <c r="D166">
        <v>0</v>
      </c>
      <c r="E166">
        <v>0</v>
      </c>
      <c r="F166">
        <v>2394.2199999999998</v>
      </c>
    </row>
    <row r="167" spans="1:11" x14ac:dyDescent="0.3">
      <c r="A167" t="s">
        <v>11</v>
      </c>
      <c r="B167">
        <v>4</v>
      </c>
      <c r="C167">
        <v>7</v>
      </c>
      <c r="D167">
        <v>0</v>
      </c>
      <c r="E167">
        <v>0</v>
      </c>
      <c r="F167">
        <v>2409.1799999999998</v>
      </c>
      <c r="G167" t="s">
        <v>6</v>
      </c>
      <c r="H167">
        <v>300</v>
      </c>
      <c r="I167">
        <f t="shared" ref="I167:J169" si="25">D167/(C167+D167)</f>
        <v>0</v>
      </c>
      <c r="J167" s="6" t="e">
        <f>E167/(D167+E167)</f>
        <v>#DIV/0!</v>
      </c>
      <c r="K167" s="2" t="e">
        <f>(J167*$N$2)/$M$2</f>
        <v>#DIV/0!</v>
      </c>
    </row>
    <row r="168" spans="1:11" x14ac:dyDescent="0.3">
      <c r="A168" t="s">
        <v>11</v>
      </c>
      <c r="B168">
        <v>4</v>
      </c>
      <c r="C168">
        <v>9</v>
      </c>
      <c r="D168">
        <v>0</v>
      </c>
      <c r="E168">
        <v>0</v>
      </c>
      <c r="F168">
        <v>2424.0500000000002</v>
      </c>
      <c r="G168" t="s">
        <v>6</v>
      </c>
      <c r="H168">
        <v>300</v>
      </c>
      <c r="I168">
        <f t="shared" si="25"/>
        <v>0</v>
      </c>
      <c r="J168" s="6" t="e">
        <f t="shared" si="25"/>
        <v>#DIV/0!</v>
      </c>
      <c r="K168" s="2" t="e">
        <f>(J168*$N$2)/$M$2</f>
        <v>#DIV/0!</v>
      </c>
    </row>
    <row r="169" spans="1:11" x14ac:dyDescent="0.3">
      <c r="A169" t="s">
        <v>11</v>
      </c>
      <c r="B169">
        <v>4</v>
      </c>
      <c r="C169">
        <v>11</v>
      </c>
      <c r="D169">
        <v>0</v>
      </c>
      <c r="E169">
        <v>0</v>
      </c>
      <c r="F169">
        <v>2438.75</v>
      </c>
      <c r="G169" t="s">
        <v>6</v>
      </c>
      <c r="H169">
        <v>300</v>
      </c>
      <c r="I169">
        <f t="shared" si="25"/>
        <v>0</v>
      </c>
      <c r="J169" s="6" t="e">
        <f t="shared" si="25"/>
        <v>#DIV/0!</v>
      </c>
      <c r="K169" s="2" t="e">
        <f>(J169*$N$2)/$M$2</f>
        <v>#DIV/0!</v>
      </c>
    </row>
    <row r="170" spans="1:11" x14ac:dyDescent="0.3">
      <c r="A170" t="s">
        <v>11</v>
      </c>
      <c r="B170">
        <v>2001</v>
      </c>
      <c r="C170">
        <v>2</v>
      </c>
      <c r="D170">
        <v>0</v>
      </c>
      <c r="E170">
        <v>0</v>
      </c>
      <c r="F170">
        <v>2453.17</v>
      </c>
    </row>
    <row r="171" spans="1:11" x14ac:dyDescent="0.3">
      <c r="A171" t="s">
        <v>11</v>
      </c>
      <c r="B171">
        <v>2001</v>
      </c>
      <c r="C171">
        <v>3</v>
      </c>
      <c r="D171">
        <v>0</v>
      </c>
      <c r="E171">
        <v>0</v>
      </c>
      <c r="F171">
        <v>2467.4</v>
      </c>
    </row>
    <row r="172" spans="1:11" x14ac:dyDescent="0.3">
      <c r="A172" t="s">
        <v>11</v>
      </c>
      <c r="B172">
        <v>2001</v>
      </c>
      <c r="C172">
        <v>2</v>
      </c>
      <c r="D172">
        <v>0</v>
      </c>
      <c r="E172">
        <v>0</v>
      </c>
      <c r="F172">
        <v>2481.7600000000002</v>
      </c>
    </row>
    <row r="173" spans="1:11" x14ac:dyDescent="0.3">
      <c r="A173" t="s">
        <v>11</v>
      </c>
      <c r="B173">
        <v>2001</v>
      </c>
      <c r="C173">
        <v>3</v>
      </c>
      <c r="D173">
        <v>0</v>
      </c>
      <c r="E173">
        <v>0</v>
      </c>
      <c r="F173">
        <v>2495.9499999999998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D530-3D51-4267-AED9-C21C8C182013}">
  <dimension ref="A1:S172"/>
  <sheetViews>
    <sheetView workbookViewId="0">
      <selection activeCell="N8" sqref="N8:O19"/>
    </sheetView>
  </sheetViews>
  <sheetFormatPr defaultRowHeight="14.4" x14ac:dyDescent="0.3"/>
  <cols>
    <col min="10" max="10" width="8.88671875" style="6"/>
    <col min="14" max="15" width="9.33203125" bestFit="1" customWidth="1"/>
  </cols>
  <sheetData>
    <row r="1" spans="1:19" x14ac:dyDescent="0.3">
      <c r="A1" t="s">
        <v>12</v>
      </c>
    </row>
    <row r="2" spans="1:19" x14ac:dyDescent="0.3">
      <c r="A2" t="s">
        <v>0</v>
      </c>
      <c r="B2" t="s">
        <v>1</v>
      </c>
      <c r="C2" t="s">
        <v>2</v>
      </c>
      <c r="D2">
        <v>1442.74</v>
      </c>
      <c r="E2">
        <v>1474.74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2.6199999999999999E-3</v>
      </c>
    </row>
    <row r="3" spans="1:19" x14ac:dyDescent="0.3">
      <c r="A3" t="s">
        <v>11</v>
      </c>
      <c r="B3">
        <v>2001</v>
      </c>
      <c r="C3">
        <v>2</v>
      </c>
      <c r="D3">
        <v>0</v>
      </c>
      <c r="E3">
        <v>0</v>
      </c>
      <c r="F3">
        <v>4.83</v>
      </c>
      <c r="M3" t="s">
        <v>15</v>
      </c>
      <c r="N3" s="2">
        <v>8.9999999999999993E-3</v>
      </c>
    </row>
    <row r="4" spans="1:19" x14ac:dyDescent="0.3">
      <c r="A4" t="s">
        <v>11</v>
      </c>
      <c r="B4">
        <v>2001</v>
      </c>
      <c r="C4">
        <v>3</v>
      </c>
      <c r="D4">
        <v>0</v>
      </c>
      <c r="E4">
        <v>0</v>
      </c>
      <c r="F4">
        <v>19.02</v>
      </c>
    </row>
    <row r="5" spans="1:19" x14ac:dyDescent="0.3">
      <c r="A5" t="s">
        <v>11</v>
      </c>
      <c r="B5">
        <v>2001</v>
      </c>
      <c r="C5">
        <v>2</v>
      </c>
      <c r="D5">
        <v>0</v>
      </c>
      <c r="E5">
        <v>0</v>
      </c>
      <c r="F5">
        <v>33.46</v>
      </c>
    </row>
    <row r="6" spans="1:19" ht="15.6" x14ac:dyDescent="0.3">
      <c r="A6" t="s">
        <v>11</v>
      </c>
      <c r="B6">
        <v>2001</v>
      </c>
      <c r="C6">
        <v>3</v>
      </c>
      <c r="D6">
        <v>0</v>
      </c>
      <c r="E6">
        <v>0</v>
      </c>
      <c r="F6">
        <v>47.66</v>
      </c>
      <c r="M6" s="3"/>
      <c r="N6" s="4" t="s">
        <v>17</v>
      </c>
      <c r="O6" s="3"/>
      <c r="Q6" s="3"/>
      <c r="R6" s="4"/>
      <c r="S6" s="3"/>
    </row>
    <row r="7" spans="1:19" ht="15.6" x14ac:dyDescent="0.3">
      <c r="A7" t="s">
        <v>11</v>
      </c>
      <c r="B7">
        <v>16</v>
      </c>
      <c r="C7">
        <v>14</v>
      </c>
      <c r="D7">
        <v>9402114.2607421894</v>
      </c>
      <c r="E7">
        <v>0</v>
      </c>
      <c r="F7">
        <v>62.51</v>
      </c>
      <c r="G7" t="s">
        <v>7</v>
      </c>
      <c r="H7">
        <v>0</v>
      </c>
      <c r="I7">
        <f>E7/(E7+D7)</f>
        <v>0</v>
      </c>
      <c r="J7" s="6">
        <f t="shared" ref="J7:J9" si="0">E7/(D7+E7)</f>
        <v>0</v>
      </c>
      <c r="K7" s="2">
        <f>(J7*$N$3)/$N$2</f>
        <v>0</v>
      </c>
      <c r="M7" s="4" t="s">
        <v>18</v>
      </c>
      <c r="N7" s="4" t="s">
        <v>13</v>
      </c>
      <c r="O7" s="3" t="s">
        <v>19</v>
      </c>
      <c r="Q7" s="3"/>
      <c r="R7" s="4" t="s">
        <v>17</v>
      </c>
      <c r="S7" s="3"/>
    </row>
    <row r="8" spans="1:19" ht="15.6" x14ac:dyDescent="0.3">
      <c r="A8" t="s">
        <v>11</v>
      </c>
      <c r="B8">
        <v>16</v>
      </c>
      <c r="C8">
        <v>16</v>
      </c>
      <c r="D8">
        <v>11657077.904296899</v>
      </c>
      <c r="E8">
        <v>0</v>
      </c>
      <c r="F8">
        <v>77.459999999999994</v>
      </c>
      <c r="G8" t="s">
        <v>7</v>
      </c>
      <c r="H8">
        <v>0</v>
      </c>
      <c r="I8">
        <f t="shared" ref="I8:I9" si="1">E8/(E8+D8)</f>
        <v>0</v>
      </c>
      <c r="J8" s="6">
        <f t="shared" si="0"/>
        <v>0</v>
      </c>
      <c r="K8" s="2">
        <f>(J8*$N$3)/$N$2</f>
        <v>0</v>
      </c>
      <c r="M8" s="3">
        <v>0</v>
      </c>
      <c r="N8" s="5">
        <f>AVERAGE(K12:K14)</f>
        <v>0</v>
      </c>
      <c r="O8" s="5">
        <f>STDEV(K12:K14)</f>
        <v>0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11</v>
      </c>
      <c r="B9">
        <v>16</v>
      </c>
      <c r="C9">
        <v>18</v>
      </c>
      <c r="D9">
        <v>11475995.189453101</v>
      </c>
      <c r="E9">
        <v>0</v>
      </c>
      <c r="F9">
        <v>92.34</v>
      </c>
      <c r="G9" t="s">
        <v>7</v>
      </c>
      <c r="H9">
        <v>0</v>
      </c>
      <c r="I9">
        <f t="shared" si="1"/>
        <v>0</v>
      </c>
      <c r="J9" s="6">
        <f t="shared" si="0"/>
        <v>0</v>
      </c>
      <c r="K9" s="2">
        <f>(J9*$N$3)/$N$2</f>
        <v>0</v>
      </c>
      <c r="M9" s="3">
        <v>0.5</v>
      </c>
      <c r="N9" s="5" t="e">
        <f>AVERAGE(K24:K26)</f>
        <v>#DIV/0!</v>
      </c>
      <c r="O9" s="5" t="e">
        <f>STDEV(K24:K26)</f>
        <v>#DIV/0!</v>
      </c>
      <c r="Q9" s="3">
        <v>0</v>
      </c>
      <c r="R9" s="7">
        <f>AVERAGE(J12:J14)</f>
        <v>0</v>
      </c>
      <c r="S9" s="7">
        <f>STDEV(J12:J14)</f>
        <v>0</v>
      </c>
    </row>
    <row r="10" spans="1:19" ht="15.6" x14ac:dyDescent="0.3">
      <c r="A10" t="s">
        <v>11</v>
      </c>
      <c r="B10">
        <v>2001</v>
      </c>
      <c r="C10">
        <v>2</v>
      </c>
      <c r="D10">
        <v>0</v>
      </c>
      <c r="E10">
        <v>0</v>
      </c>
      <c r="F10">
        <v>106.8</v>
      </c>
      <c r="M10" s="3">
        <v>1</v>
      </c>
      <c r="N10" s="5">
        <f>AVERAGE(K36:K38)</f>
        <v>0</v>
      </c>
      <c r="O10" s="5">
        <f>STDEV(K36:K38)</f>
        <v>0</v>
      </c>
      <c r="Q10" s="3">
        <v>0.5</v>
      </c>
      <c r="R10" s="7" t="e">
        <f>AVERAGE(J24:J26)</f>
        <v>#DIV/0!</v>
      </c>
      <c r="S10" s="7" t="e">
        <f>STDEV(J24:J26)</f>
        <v>#DIV/0!</v>
      </c>
    </row>
    <row r="11" spans="1:19" ht="15.6" x14ac:dyDescent="0.3">
      <c r="A11" t="s">
        <v>11</v>
      </c>
      <c r="B11">
        <v>2001</v>
      </c>
      <c r="C11">
        <v>3</v>
      </c>
      <c r="D11">
        <v>0</v>
      </c>
      <c r="E11">
        <v>0</v>
      </c>
      <c r="F11">
        <v>120.97</v>
      </c>
      <c r="M11" s="3">
        <v>1.5</v>
      </c>
      <c r="N11" s="5">
        <f>AVERAGE(K48:K50)</f>
        <v>0</v>
      </c>
      <c r="O11" s="5">
        <f>STDEV(K48:K50)</f>
        <v>0</v>
      </c>
      <c r="Q11" s="3">
        <v>1</v>
      </c>
      <c r="R11" s="7">
        <f>AVERAGE(J37:J39)</f>
        <v>0</v>
      </c>
      <c r="S11" s="7">
        <f>STDEV(J37:J39)</f>
        <v>0</v>
      </c>
    </row>
    <row r="12" spans="1:19" ht="15.6" x14ac:dyDescent="0.3">
      <c r="A12" t="s">
        <v>11</v>
      </c>
      <c r="B12">
        <v>16</v>
      </c>
      <c r="C12">
        <v>20</v>
      </c>
      <c r="D12">
        <v>11362096.974609399</v>
      </c>
      <c r="E12">
        <v>0</v>
      </c>
      <c r="F12">
        <v>135.91999999999999</v>
      </c>
      <c r="G12" t="s">
        <v>6</v>
      </c>
      <c r="H12">
        <v>0</v>
      </c>
      <c r="I12">
        <f>E12/(E12+D12)</f>
        <v>0</v>
      </c>
      <c r="J12" s="6">
        <f t="shared" ref="J12:J14" si="2">E12/(D12+E12)</f>
        <v>0</v>
      </c>
      <c r="K12" s="2">
        <f>(J12*$N$3)/$N$2</f>
        <v>0</v>
      </c>
      <c r="M12" s="3">
        <v>3</v>
      </c>
      <c r="N12" s="5">
        <f>AVERAGE(K60:K62)</f>
        <v>0</v>
      </c>
      <c r="O12" s="5">
        <f>STDEV(K60:K62)</f>
        <v>0</v>
      </c>
      <c r="Q12" s="3">
        <v>1.5</v>
      </c>
      <c r="R12" s="7">
        <f>AVERAGE(J49:J51)</f>
        <v>0</v>
      </c>
      <c r="S12" s="7">
        <f>STDEV(J49:J51)</f>
        <v>0</v>
      </c>
    </row>
    <row r="13" spans="1:19" ht="15.6" x14ac:dyDescent="0.3">
      <c r="A13" t="s">
        <v>11</v>
      </c>
      <c r="B13">
        <v>16</v>
      </c>
      <c r="C13">
        <v>22</v>
      </c>
      <c r="D13">
        <v>3899167.9565429701</v>
      </c>
      <c r="E13">
        <v>0</v>
      </c>
      <c r="F13">
        <v>150.74</v>
      </c>
      <c r="G13" t="s">
        <v>6</v>
      </c>
      <c r="H13">
        <v>0</v>
      </c>
      <c r="I13">
        <f t="shared" ref="I13:I14" si="3">E13/(E13+D13)</f>
        <v>0</v>
      </c>
      <c r="J13" s="6">
        <f t="shared" si="2"/>
        <v>0</v>
      </c>
      <c r="K13" s="2">
        <f>(J13*$N$3)/$N$2</f>
        <v>0</v>
      </c>
      <c r="M13" s="3">
        <v>5</v>
      </c>
      <c r="N13" s="5">
        <f>AVERAGE(K72:K74)</f>
        <v>0</v>
      </c>
      <c r="O13" s="5">
        <f>STDEV(K72:K74)</f>
        <v>0</v>
      </c>
      <c r="Q13" s="3">
        <v>3</v>
      </c>
      <c r="R13" s="7">
        <f>AVERAGE(J61:J63)</f>
        <v>0</v>
      </c>
      <c r="S13" s="7">
        <f>STDEV(J61:J63)</f>
        <v>0</v>
      </c>
    </row>
    <row r="14" spans="1:19" ht="15.6" x14ac:dyDescent="0.3">
      <c r="A14" t="s">
        <v>11</v>
      </c>
      <c r="B14">
        <v>16</v>
      </c>
      <c r="C14">
        <v>24</v>
      </c>
      <c r="D14">
        <v>10264147.0585938</v>
      </c>
      <c r="E14">
        <v>0</v>
      </c>
      <c r="F14">
        <v>165.72</v>
      </c>
      <c r="G14" t="s">
        <v>6</v>
      </c>
      <c r="H14">
        <v>0</v>
      </c>
      <c r="I14">
        <f t="shared" si="3"/>
        <v>0</v>
      </c>
      <c r="J14" s="6">
        <f t="shared" si="2"/>
        <v>0</v>
      </c>
      <c r="K14" s="2">
        <f>(J14*$N$3)/$N$2</f>
        <v>0</v>
      </c>
      <c r="M14" s="3">
        <v>10</v>
      </c>
      <c r="N14" s="5">
        <f>AVERAGE(K84:K86)</f>
        <v>0</v>
      </c>
      <c r="O14" s="5">
        <f>STDEV(K84:K86)</f>
        <v>0</v>
      </c>
      <c r="Q14" s="3">
        <v>5</v>
      </c>
      <c r="R14" s="7">
        <f>AVERAGE(J73:J75)</f>
        <v>0</v>
      </c>
      <c r="S14" s="7">
        <f>STDEV(J73:J75)</f>
        <v>0</v>
      </c>
    </row>
    <row r="15" spans="1:19" ht="15.6" x14ac:dyDescent="0.3">
      <c r="A15" t="s">
        <v>11</v>
      </c>
      <c r="B15">
        <v>2001</v>
      </c>
      <c r="C15">
        <v>2</v>
      </c>
      <c r="D15">
        <v>0</v>
      </c>
      <c r="E15">
        <v>0</v>
      </c>
      <c r="F15">
        <v>180.09</v>
      </c>
      <c r="M15" s="3">
        <v>20</v>
      </c>
      <c r="N15" s="5">
        <f>AVERAGE(K96:K98)</f>
        <v>2.4641688540078138E-3</v>
      </c>
      <c r="O15" s="5">
        <f>STDEV(K96:K98)</f>
        <v>2.1374907795582375E-3</v>
      </c>
      <c r="Q15" s="3">
        <v>10</v>
      </c>
      <c r="R15" s="7">
        <f>AVERAGE(J85:J87)</f>
        <v>0</v>
      </c>
      <c r="S15" s="7">
        <f>STDEV(J85:J87)</f>
        <v>0</v>
      </c>
    </row>
    <row r="16" spans="1:19" ht="15.6" x14ac:dyDescent="0.3">
      <c r="A16" t="s">
        <v>11</v>
      </c>
      <c r="B16">
        <v>2001</v>
      </c>
      <c r="C16">
        <v>3</v>
      </c>
      <c r="D16">
        <v>0</v>
      </c>
      <c r="E16">
        <v>0</v>
      </c>
      <c r="F16">
        <v>194.29</v>
      </c>
      <c r="M16" s="3">
        <v>40</v>
      </c>
      <c r="N16" s="5">
        <f>AVERAGE(K112:K114)</f>
        <v>1.5278372890927696E-2</v>
      </c>
      <c r="O16" s="5">
        <f>STDEV(K112:K114)</f>
        <v>6.9842374622071379E-3</v>
      </c>
      <c r="Q16" s="3">
        <v>20</v>
      </c>
      <c r="R16" s="7">
        <f>AVERAGE(J97:J99)</f>
        <v>5.557002766756054E-4</v>
      </c>
      <c r="S16" s="7">
        <f>STDEV(J97:J99)</f>
        <v>7.8587886788912249E-4</v>
      </c>
    </row>
    <row r="17" spans="1:19" ht="15.6" x14ac:dyDescent="0.3">
      <c r="A17" t="s">
        <v>11</v>
      </c>
      <c r="B17">
        <v>2001</v>
      </c>
      <c r="C17">
        <v>2</v>
      </c>
      <c r="D17">
        <v>0</v>
      </c>
      <c r="E17">
        <v>0</v>
      </c>
      <c r="F17">
        <v>208.6</v>
      </c>
      <c r="M17" s="3">
        <v>60</v>
      </c>
      <c r="N17" s="5">
        <f>AVERAGE(K126:K128)</f>
        <v>2.3241210754512395E-2</v>
      </c>
      <c r="O17" s="5">
        <f>STDEV(K126:K128)</f>
        <v>2.0136977823443616E-2</v>
      </c>
      <c r="Q17" s="3">
        <v>40</v>
      </c>
      <c r="R17" s="7">
        <f>AVERAGE(J113:J115)</f>
        <v>4.0061936309283208E-3</v>
      </c>
      <c r="S17" s="7">
        <f>STDEV(J113:J115)</f>
        <v>2.664231042912395E-3</v>
      </c>
    </row>
    <row r="18" spans="1:19" ht="15.6" x14ac:dyDescent="0.3">
      <c r="A18" t="s">
        <v>11</v>
      </c>
      <c r="B18">
        <v>2001</v>
      </c>
      <c r="C18">
        <v>3</v>
      </c>
      <c r="D18">
        <v>0</v>
      </c>
      <c r="E18">
        <v>0</v>
      </c>
      <c r="F18">
        <v>222.91</v>
      </c>
      <c r="M18" s="3">
        <v>90</v>
      </c>
      <c r="N18" s="5">
        <f>AVERAGE(K140:K142)</f>
        <v>6.8862143975724016E-2</v>
      </c>
      <c r="O18" s="5">
        <f>STDEV(K140:K142)</f>
        <v>1.0262307876922831E-2</v>
      </c>
      <c r="Q18" s="3">
        <v>60</v>
      </c>
      <c r="R18" s="7">
        <f>AVERAGE(J127:J129)</f>
        <v>5.164348372097117E-3</v>
      </c>
      <c r="S18" s="7">
        <f>STDEV(J127:J129)</f>
        <v>7.3034915086391582E-3</v>
      </c>
    </row>
    <row r="19" spans="1:19" ht="15.6" x14ac:dyDescent="0.3">
      <c r="A19" t="s">
        <v>11</v>
      </c>
      <c r="B19">
        <v>15</v>
      </c>
      <c r="C19">
        <v>14</v>
      </c>
      <c r="D19">
        <v>60866.498046875</v>
      </c>
      <c r="E19">
        <v>0</v>
      </c>
      <c r="F19">
        <v>237.78</v>
      </c>
      <c r="G19" t="s">
        <v>7</v>
      </c>
      <c r="H19">
        <v>0.5</v>
      </c>
      <c r="I19">
        <f>E19/(E19+D19)</f>
        <v>0</v>
      </c>
      <c r="J19" s="6">
        <f t="shared" ref="J19:J21" si="4">E19/(D19+E19)</f>
        <v>0</v>
      </c>
      <c r="K19" s="2">
        <f>(J19*$N$3)/$N$2</f>
        <v>0</v>
      </c>
      <c r="M19" s="3">
        <v>120</v>
      </c>
      <c r="N19" s="5">
        <f>AVERAGE(K154:K156)</f>
        <v>9.6588677951313304E-2</v>
      </c>
      <c r="O19" s="5">
        <f>STDEV(K154:K156)</f>
        <v>1.2200988457865058E-2</v>
      </c>
      <c r="Q19" s="3">
        <v>90</v>
      </c>
      <c r="R19" s="7">
        <f>AVERAGE(J141:J143)</f>
        <v>2.0539376479569042E-2</v>
      </c>
      <c r="S19" s="7">
        <f>STDEV(J141:J143)</f>
        <v>4.0487802119994025E-3</v>
      </c>
    </row>
    <row r="20" spans="1:19" ht="15.6" x14ac:dyDescent="0.3">
      <c r="A20" t="s">
        <v>11</v>
      </c>
      <c r="B20">
        <v>15</v>
      </c>
      <c r="C20">
        <v>16</v>
      </c>
      <c r="D20">
        <v>0</v>
      </c>
      <c r="E20">
        <v>0</v>
      </c>
      <c r="F20">
        <v>252.68</v>
      </c>
      <c r="G20" t="s">
        <v>7</v>
      </c>
      <c r="H20">
        <v>0.5</v>
      </c>
      <c r="I20" t="e">
        <f t="shared" ref="I20:I21" si="5">E20/(E20+D20)</f>
        <v>#DIV/0!</v>
      </c>
      <c r="J20" s="6" t="e">
        <f t="shared" si="4"/>
        <v>#DIV/0!</v>
      </c>
      <c r="K20" s="2" t="e">
        <f>(J20*$N$3)/$N$2</f>
        <v>#DIV/0!</v>
      </c>
      <c r="Q20" s="3">
        <v>120</v>
      </c>
      <c r="R20" s="7">
        <f>AVERAGE(J155:J157)</f>
        <v>2.8241529286784296E-2</v>
      </c>
      <c r="S20" s="7">
        <f>STDEV(J155:J157)</f>
        <v>5.0139485650008567E-3</v>
      </c>
    </row>
    <row r="21" spans="1:19" x14ac:dyDescent="0.3">
      <c r="A21" t="s">
        <v>11</v>
      </c>
      <c r="B21">
        <v>15</v>
      </c>
      <c r="C21">
        <v>18</v>
      </c>
      <c r="D21">
        <v>0</v>
      </c>
      <c r="E21">
        <v>0</v>
      </c>
      <c r="F21">
        <v>267.68</v>
      </c>
      <c r="G21" t="s">
        <v>7</v>
      </c>
      <c r="H21">
        <v>0.5</v>
      </c>
      <c r="I21" t="e">
        <f t="shared" si="5"/>
        <v>#DIV/0!</v>
      </c>
      <c r="J21" s="6" t="e">
        <f t="shared" si="4"/>
        <v>#DIV/0!</v>
      </c>
      <c r="K21" s="2" t="e">
        <f>(J21*$N$3)/$N$2</f>
        <v>#DIV/0!</v>
      </c>
    </row>
    <row r="22" spans="1:19" x14ac:dyDescent="0.3">
      <c r="A22" t="s">
        <v>11</v>
      </c>
      <c r="B22">
        <v>2001</v>
      </c>
      <c r="C22">
        <v>2</v>
      </c>
      <c r="D22">
        <v>0</v>
      </c>
      <c r="E22">
        <v>0</v>
      </c>
      <c r="F22">
        <v>282.02999999999997</v>
      </c>
    </row>
    <row r="23" spans="1:19" x14ac:dyDescent="0.3">
      <c r="A23" t="s">
        <v>11</v>
      </c>
      <c r="B23">
        <v>2001</v>
      </c>
      <c r="C23">
        <v>3</v>
      </c>
      <c r="D23">
        <v>0</v>
      </c>
      <c r="E23">
        <v>0</v>
      </c>
      <c r="F23">
        <v>296.27</v>
      </c>
    </row>
    <row r="24" spans="1:19" x14ac:dyDescent="0.3">
      <c r="A24" t="s">
        <v>11</v>
      </c>
      <c r="B24">
        <v>15</v>
      </c>
      <c r="C24">
        <v>20</v>
      </c>
      <c r="D24">
        <v>0</v>
      </c>
      <c r="E24">
        <v>0</v>
      </c>
      <c r="F24">
        <v>311.12</v>
      </c>
      <c r="G24" t="s">
        <v>6</v>
      </c>
      <c r="H24">
        <v>0.5</v>
      </c>
      <c r="I24">
        <f t="shared" ref="I24:J26" si="6">D24/(C24+D24)</f>
        <v>0</v>
      </c>
      <c r="J24" s="6" t="e">
        <f t="shared" si="6"/>
        <v>#DIV/0!</v>
      </c>
      <c r="K24" s="2" t="e">
        <f>(J24*$N$3)/$N$2</f>
        <v>#DIV/0!</v>
      </c>
    </row>
    <row r="25" spans="1:19" x14ac:dyDescent="0.3">
      <c r="A25" t="s">
        <v>11</v>
      </c>
      <c r="B25">
        <v>15</v>
      </c>
      <c r="C25">
        <v>22</v>
      </c>
      <c r="D25">
        <v>0</v>
      </c>
      <c r="E25">
        <v>0</v>
      </c>
      <c r="F25">
        <v>325.95</v>
      </c>
      <c r="G25" t="s">
        <v>6</v>
      </c>
      <c r="H25">
        <v>0.5</v>
      </c>
      <c r="I25">
        <f t="shared" si="6"/>
        <v>0</v>
      </c>
      <c r="J25" s="6" t="e">
        <f t="shared" si="6"/>
        <v>#DIV/0!</v>
      </c>
      <c r="K25" s="2" t="e">
        <f>(J25*$N$3)/$N$2</f>
        <v>#DIV/0!</v>
      </c>
    </row>
    <row r="26" spans="1:19" x14ac:dyDescent="0.3">
      <c r="A26" t="s">
        <v>11</v>
      </c>
      <c r="B26">
        <v>15</v>
      </c>
      <c r="C26">
        <v>24</v>
      </c>
      <c r="D26">
        <v>1005228.21875</v>
      </c>
      <c r="E26">
        <v>0</v>
      </c>
      <c r="F26">
        <v>340.92</v>
      </c>
      <c r="G26" t="s">
        <v>6</v>
      </c>
      <c r="H26">
        <v>0.5</v>
      </c>
      <c r="I26">
        <f t="shared" si="6"/>
        <v>0.99997612539464986</v>
      </c>
      <c r="J26" s="6">
        <f t="shared" si="6"/>
        <v>0</v>
      </c>
      <c r="K26" s="2">
        <f>(J26*$N$3)/$N$2</f>
        <v>0</v>
      </c>
    </row>
    <row r="27" spans="1:19" x14ac:dyDescent="0.3">
      <c r="A27" t="s">
        <v>11</v>
      </c>
      <c r="B27">
        <v>2001</v>
      </c>
      <c r="C27">
        <v>2</v>
      </c>
      <c r="D27">
        <v>0</v>
      </c>
      <c r="E27">
        <v>0</v>
      </c>
      <c r="F27">
        <v>355.33</v>
      </c>
    </row>
    <row r="28" spans="1:19" x14ac:dyDescent="0.3">
      <c r="A28" t="s">
        <v>11</v>
      </c>
      <c r="B28">
        <v>2001</v>
      </c>
      <c r="C28">
        <v>3</v>
      </c>
      <c r="D28">
        <v>0</v>
      </c>
      <c r="E28">
        <v>0</v>
      </c>
      <c r="F28">
        <v>369.54</v>
      </c>
    </row>
    <row r="29" spans="1:19" x14ac:dyDescent="0.3">
      <c r="A29" t="s">
        <v>11</v>
      </c>
      <c r="B29">
        <v>2001</v>
      </c>
      <c r="C29">
        <v>2</v>
      </c>
      <c r="D29">
        <v>0</v>
      </c>
      <c r="E29">
        <v>0</v>
      </c>
      <c r="F29">
        <v>383.87</v>
      </c>
    </row>
    <row r="30" spans="1:19" x14ac:dyDescent="0.3">
      <c r="A30" t="s">
        <v>11</v>
      </c>
      <c r="B30">
        <v>2001</v>
      </c>
      <c r="C30">
        <v>3</v>
      </c>
      <c r="D30">
        <v>0</v>
      </c>
      <c r="E30">
        <v>0</v>
      </c>
      <c r="F30">
        <v>398.17</v>
      </c>
    </row>
    <row r="31" spans="1:19" x14ac:dyDescent="0.3">
      <c r="A31" t="s">
        <v>11</v>
      </c>
      <c r="B31">
        <v>14</v>
      </c>
      <c r="C31">
        <v>14</v>
      </c>
      <c r="D31">
        <v>10228150.998046899</v>
      </c>
      <c r="E31">
        <v>0</v>
      </c>
      <c r="F31">
        <v>412.99</v>
      </c>
      <c r="G31" t="s">
        <v>7</v>
      </c>
      <c r="H31">
        <v>1</v>
      </c>
      <c r="I31">
        <f t="shared" ref="I31:J33" si="7">D31/(C31+D31)</f>
        <v>0.99999863123052835</v>
      </c>
      <c r="J31" s="6">
        <f t="shared" si="7"/>
        <v>0</v>
      </c>
      <c r="K31" s="2">
        <f>(J31*$N$3)/$N$2</f>
        <v>0</v>
      </c>
    </row>
    <row r="32" spans="1:19" x14ac:dyDescent="0.3">
      <c r="A32" t="s">
        <v>11</v>
      </c>
      <c r="B32">
        <v>14</v>
      </c>
      <c r="C32">
        <v>16</v>
      </c>
      <c r="D32">
        <v>10156317.3671875</v>
      </c>
      <c r="E32">
        <v>0</v>
      </c>
      <c r="F32">
        <v>427.98</v>
      </c>
      <c r="G32" t="s">
        <v>7</v>
      </c>
      <c r="H32">
        <v>1</v>
      </c>
      <c r="I32">
        <f t="shared" si="7"/>
        <v>0.99999842462831601</v>
      </c>
      <c r="J32" s="6">
        <f t="shared" si="7"/>
        <v>0</v>
      </c>
      <c r="K32" s="2">
        <f>(J32*$N$3)/$N$2</f>
        <v>0</v>
      </c>
    </row>
    <row r="33" spans="1:11" x14ac:dyDescent="0.3">
      <c r="A33" t="s">
        <v>11</v>
      </c>
      <c r="B33">
        <v>14</v>
      </c>
      <c r="C33">
        <v>18</v>
      </c>
      <c r="D33">
        <v>9218927.1035156306</v>
      </c>
      <c r="E33">
        <v>0</v>
      </c>
      <c r="F33">
        <v>442.84</v>
      </c>
      <c r="G33" t="s">
        <v>7</v>
      </c>
      <c r="H33">
        <v>1</v>
      </c>
      <c r="I33">
        <f t="shared" si="7"/>
        <v>0.99999804749894938</v>
      </c>
      <c r="J33" s="6">
        <f t="shared" si="7"/>
        <v>0</v>
      </c>
      <c r="K33" s="2">
        <f>(J33*$N$3)/$N$2</f>
        <v>0</v>
      </c>
    </row>
    <row r="34" spans="1:11" x14ac:dyDescent="0.3">
      <c r="A34" t="s">
        <v>11</v>
      </c>
      <c r="B34">
        <v>2001</v>
      </c>
      <c r="C34">
        <v>2</v>
      </c>
      <c r="D34">
        <v>0</v>
      </c>
      <c r="E34">
        <v>0</v>
      </c>
      <c r="F34">
        <v>457.28</v>
      </c>
    </row>
    <row r="35" spans="1:11" x14ac:dyDescent="0.3">
      <c r="A35" t="s">
        <v>11</v>
      </c>
      <c r="B35">
        <v>2001</v>
      </c>
      <c r="C35">
        <v>3</v>
      </c>
      <c r="D35">
        <v>0</v>
      </c>
      <c r="E35">
        <v>0</v>
      </c>
      <c r="F35">
        <v>471.48</v>
      </c>
    </row>
    <row r="36" spans="1:11" x14ac:dyDescent="0.3">
      <c r="A36" t="s">
        <v>11</v>
      </c>
      <c r="B36">
        <v>14</v>
      </c>
      <c r="C36">
        <v>20</v>
      </c>
      <c r="D36">
        <v>9943131.58984375</v>
      </c>
      <c r="E36">
        <v>0</v>
      </c>
      <c r="F36">
        <v>486.44</v>
      </c>
      <c r="G36" t="s">
        <v>6</v>
      </c>
      <c r="H36">
        <v>1</v>
      </c>
      <c r="I36">
        <f t="shared" ref="I36:J38" si="8">D36/(C36+D36)</f>
        <v>0.99999798856531363</v>
      </c>
      <c r="J36" s="6">
        <f t="shared" si="8"/>
        <v>0</v>
      </c>
      <c r="K36" s="2">
        <f>(J36*$N$3)/$N$2</f>
        <v>0</v>
      </c>
    </row>
    <row r="37" spans="1:11" x14ac:dyDescent="0.3">
      <c r="A37" t="s">
        <v>11</v>
      </c>
      <c r="B37">
        <v>14</v>
      </c>
      <c r="C37">
        <v>22</v>
      </c>
      <c r="D37">
        <v>6226898.02587891</v>
      </c>
      <c r="E37">
        <v>0</v>
      </c>
      <c r="F37">
        <v>501.28</v>
      </c>
      <c r="G37" t="s">
        <v>6</v>
      </c>
      <c r="H37">
        <v>1</v>
      </c>
      <c r="I37">
        <f t="shared" si="8"/>
        <v>0.99999646695317934</v>
      </c>
      <c r="J37" s="6">
        <f t="shared" si="8"/>
        <v>0</v>
      </c>
      <c r="K37" s="2">
        <f>(J37*$N$3)/$N$2</f>
        <v>0</v>
      </c>
    </row>
    <row r="38" spans="1:11" x14ac:dyDescent="0.3">
      <c r="A38" t="s">
        <v>11</v>
      </c>
      <c r="B38">
        <v>14</v>
      </c>
      <c r="C38">
        <v>24</v>
      </c>
      <c r="D38">
        <v>1779003.66943359</v>
      </c>
      <c r="E38">
        <v>0</v>
      </c>
      <c r="F38">
        <v>516.25</v>
      </c>
      <c r="G38" t="s">
        <v>6</v>
      </c>
      <c r="H38">
        <v>1</v>
      </c>
      <c r="I38">
        <f t="shared" si="8"/>
        <v>0.99998650948469636</v>
      </c>
      <c r="J38" s="6">
        <f t="shared" si="8"/>
        <v>0</v>
      </c>
      <c r="K38" s="2">
        <f>(J38*$N$3)/$N$2</f>
        <v>0</v>
      </c>
    </row>
    <row r="39" spans="1:11" x14ac:dyDescent="0.3">
      <c r="A39" t="s">
        <v>11</v>
      </c>
      <c r="B39">
        <v>2001</v>
      </c>
      <c r="C39">
        <v>2</v>
      </c>
      <c r="D39">
        <v>0</v>
      </c>
      <c r="E39">
        <v>0</v>
      </c>
      <c r="F39">
        <v>530.55999999999995</v>
      </c>
    </row>
    <row r="40" spans="1:11" x14ac:dyDescent="0.3">
      <c r="A40" t="s">
        <v>11</v>
      </c>
      <c r="B40">
        <v>2001</v>
      </c>
      <c r="C40">
        <v>3</v>
      </c>
      <c r="D40">
        <v>0</v>
      </c>
      <c r="E40">
        <v>0</v>
      </c>
      <c r="F40">
        <v>544.72</v>
      </c>
    </row>
    <row r="41" spans="1:11" x14ac:dyDescent="0.3">
      <c r="A41" t="s">
        <v>11</v>
      </c>
      <c r="B41">
        <v>2001</v>
      </c>
      <c r="C41">
        <v>2</v>
      </c>
      <c r="D41">
        <v>0</v>
      </c>
      <c r="E41">
        <v>0</v>
      </c>
      <c r="F41">
        <v>559.14</v>
      </c>
    </row>
    <row r="42" spans="1:11" x14ac:dyDescent="0.3">
      <c r="A42" t="s">
        <v>11</v>
      </c>
      <c r="B42">
        <v>2001</v>
      </c>
      <c r="C42">
        <v>3</v>
      </c>
      <c r="D42">
        <v>0</v>
      </c>
      <c r="E42">
        <v>0</v>
      </c>
      <c r="F42">
        <v>573.44000000000005</v>
      </c>
    </row>
    <row r="43" spans="1:11" x14ac:dyDescent="0.3">
      <c r="A43" t="s">
        <v>11</v>
      </c>
      <c r="B43">
        <v>13</v>
      </c>
      <c r="C43">
        <v>14</v>
      </c>
      <c r="D43">
        <v>10344785.8198242</v>
      </c>
      <c r="E43">
        <v>0</v>
      </c>
      <c r="F43">
        <v>588.25</v>
      </c>
      <c r="G43" t="s">
        <v>7</v>
      </c>
      <c r="H43">
        <v>1.5</v>
      </c>
      <c r="I43">
        <f t="shared" ref="I43:J45" si="9">D43/(C43+D43)</f>
        <v>0.99999864666303417</v>
      </c>
      <c r="J43" s="6">
        <f t="shared" si="9"/>
        <v>0</v>
      </c>
      <c r="K43" s="2">
        <f>(J43*$N$3)/$N$2</f>
        <v>0</v>
      </c>
    </row>
    <row r="44" spans="1:11" x14ac:dyDescent="0.3">
      <c r="A44" t="s">
        <v>11</v>
      </c>
      <c r="B44">
        <v>13</v>
      </c>
      <c r="C44">
        <v>16</v>
      </c>
      <c r="D44">
        <v>10070155.2851563</v>
      </c>
      <c r="E44">
        <v>0</v>
      </c>
      <c r="F44">
        <v>603.17999999999995</v>
      </c>
      <c r="G44" t="s">
        <v>7</v>
      </c>
      <c r="H44">
        <v>1.5</v>
      </c>
      <c r="I44">
        <f t="shared" si="9"/>
        <v>0.99999841114917043</v>
      </c>
      <c r="J44" s="6">
        <f t="shared" si="9"/>
        <v>0</v>
      </c>
      <c r="K44" s="2">
        <f>(J44*$N$3)/$N$2</f>
        <v>0</v>
      </c>
    </row>
    <row r="45" spans="1:11" x14ac:dyDescent="0.3">
      <c r="A45" t="s">
        <v>11</v>
      </c>
      <c r="B45">
        <v>13</v>
      </c>
      <c r="C45">
        <v>18</v>
      </c>
      <c r="D45">
        <v>9057417.8872070294</v>
      </c>
      <c r="E45">
        <v>0</v>
      </c>
      <c r="F45">
        <v>618.11</v>
      </c>
      <c r="G45" t="s">
        <v>7</v>
      </c>
      <c r="H45">
        <v>1.5</v>
      </c>
      <c r="I45">
        <f t="shared" si="9"/>
        <v>0.99999801268259314</v>
      </c>
      <c r="J45" s="6">
        <f t="shared" si="9"/>
        <v>0</v>
      </c>
      <c r="K45" s="2">
        <f>(J45*$N$3)/$N$2</f>
        <v>0</v>
      </c>
    </row>
    <row r="46" spans="1:11" x14ac:dyDescent="0.3">
      <c r="A46" t="s">
        <v>11</v>
      </c>
      <c r="B46">
        <v>2001</v>
      </c>
      <c r="C46">
        <v>2</v>
      </c>
      <c r="D46">
        <v>0</v>
      </c>
      <c r="E46">
        <v>0</v>
      </c>
      <c r="F46">
        <v>632.41999999999996</v>
      </c>
    </row>
    <row r="47" spans="1:11" x14ac:dyDescent="0.3">
      <c r="A47" t="s">
        <v>11</v>
      </c>
      <c r="B47">
        <v>2001</v>
      </c>
      <c r="C47">
        <v>3</v>
      </c>
      <c r="D47">
        <v>0</v>
      </c>
      <c r="E47">
        <v>0</v>
      </c>
      <c r="F47">
        <v>646.74</v>
      </c>
    </row>
    <row r="48" spans="1:11" x14ac:dyDescent="0.3">
      <c r="A48" t="s">
        <v>11</v>
      </c>
      <c r="B48">
        <v>13</v>
      </c>
      <c r="C48">
        <v>20</v>
      </c>
      <c r="D48">
        <v>10863621.5351563</v>
      </c>
      <c r="E48">
        <v>0</v>
      </c>
      <c r="F48">
        <v>661.56</v>
      </c>
      <c r="G48" t="s">
        <v>6</v>
      </c>
      <c r="H48">
        <v>1.5</v>
      </c>
      <c r="I48">
        <f t="shared" ref="I48:J50" si="10">D48/(C48+D48)</f>
        <v>0.99999815899669231</v>
      </c>
      <c r="J48" s="6">
        <f t="shared" si="10"/>
        <v>0</v>
      </c>
      <c r="K48" s="2">
        <f>(J48*$N$3)/$N$2</f>
        <v>0</v>
      </c>
    </row>
    <row r="49" spans="1:11" x14ac:dyDescent="0.3">
      <c r="A49" t="s">
        <v>11</v>
      </c>
      <c r="B49">
        <v>13</v>
      </c>
      <c r="C49">
        <v>22</v>
      </c>
      <c r="D49">
        <v>10130689.853515601</v>
      </c>
      <c r="E49">
        <v>0</v>
      </c>
      <c r="F49">
        <v>676.51</v>
      </c>
      <c r="G49" t="s">
        <v>6</v>
      </c>
      <c r="H49">
        <v>1.5</v>
      </c>
      <c r="I49">
        <f t="shared" si="10"/>
        <v>0.99999782838557472</v>
      </c>
      <c r="J49" s="6">
        <f t="shared" si="10"/>
        <v>0</v>
      </c>
      <c r="K49" s="2">
        <f>(J49*$N$3)/$N$2</f>
        <v>0</v>
      </c>
    </row>
    <row r="50" spans="1:11" x14ac:dyDescent="0.3">
      <c r="A50" t="s">
        <v>11</v>
      </c>
      <c r="B50">
        <v>13</v>
      </c>
      <c r="C50">
        <v>24</v>
      </c>
      <c r="D50">
        <v>10363530.435546899</v>
      </c>
      <c r="E50">
        <v>0</v>
      </c>
      <c r="F50">
        <v>691.33</v>
      </c>
      <c r="G50" t="s">
        <v>6</v>
      </c>
      <c r="H50">
        <v>1.5</v>
      </c>
      <c r="I50">
        <f t="shared" si="10"/>
        <v>0.99999768419221902</v>
      </c>
      <c r="J50" s="6">
        <f t="shared" si="10"/>
        <v>0</v>
      </c>
      <c r="K50" s="2">
        <f>(J50*$N$3)/$N$2</f>
        <v>0</v>
      </c>
    </row>
    <row r="51" spans="1:11" x14ac:dyDescent="0.3">
      <c r="A51" t="s">
        <v>11</v>
      </c>
      <c r="B51">
        <v>2001</v>
      </c>
      <c r="C51">
        <v>2</v>
      </c>
      <c r="D51">
        <v>0</v>
      </c>
      <c r="E51">
        <v>0</v>
      </c>
      <c r="F51">
        <v>705.81</v>
      </c>
    </row>
    <row r="52" spans="1:11" x14ac:dyDescent="0.3">
      <c r="A52" t="s">
        <v>11</v>
      </c>
      <c r="B52">
        <v>2001</v>
      </c>
      <c r="C52">
        <v>3</v>
      </c>
      <c r="D52">
        <v>0</v>
      </c>
      <c r="E52">
        <v>0</v>
      </c>
      <c r="F52">
        <v>720.01</v>
      </c>
    </row>
    <row r="53" spans="1:11" x14ac:dyDescent="0.3">
      <c r="A53" t="s">
        <v>11</v>
      </c>
      <c r="B53">
        <v>2001</v>
      </c>
      <c r="C53">
        <v>2</v>
      </c>
      <c r="D53">
        <v>0</v>
      </c>
      <c r="E53">
        <v>0</v>
      </c>
      <c r="F53">
        <v>734.32</v>
      </c>
    </row>
    <row r="54" spans="1:11" x14ac:dyDescent="0.3">
      <c r="A54" t="s">
        <v>11</v>
      </c>
      <c r="B54">
        <v>2001</v>
      </c>
      <c r="C54">
        <v>3</v>
      </c>
      <c r="D54">
        <v>0</v>
      </c>
      <c r="E54">
        <v>0</v>
      </c>
      <c r="F54">
        <v>748.62</v>
      </c>
    </row>
    <row r="55" spans="1:11" x14ac:dyDescent="0.3">
      <c r="A55" t="s">
        <v>11</v>
      </c>
      <c r="B55">
        <v>12</v>
      </c>
      <c r="C55">
        <v>14</v>
      </c>
      <c r="D55">
        <v>10434159.279296899</v>
      </c>
      <c r="E55">
        <v>0</v>
      </c>
      <c r="F55">
        <v>763.45</v>
      </c>
      <c r="G55" t="s">
        <v>7</v>
      </c>
      <c r="H55">
        <v>3</v>
      </c>
      <c r="I55">
        <f t="shared" ref="I55:J57" si="11">D55/(C55+D55)</f>
        <v>0.99999865825498335</v>
      </c>
      <c r="J55" s="6">
        <f t="shared" si="11"/>
        <v>0</v>
      </c>
      <c r="K55" s="2">
        <f>(J55*$N$3)/$N$2</f>
        <v>0</v>
      </c>
    </row>
    <row r="56" spans="1:11" x14ac:dyDescent="0.3">
      <c r="A56" t="s">
        <v>11</v>
      </c>
      <c r="B56">
        <v>12</v>
      </c>
      <c r="C56">
        <v>16</v>
      </c>
      <c r="D56">
        <v>10516652.380859399</v>
      </c>
      <c r="E56">
        <v>0</v>
      </c>
      <c r="F56">
        <v>778.44</v>
      </c>
      <c r="G56" t="s">
        <v>7</v>
      </c>
      <c r="H56">
        <v>3</v>
      </c>
      <c r="I56">
        <f t="shared" si="11"/>
        <v>0.99999847860563629</v>
      </c>
      <c r="J56" s="6">
        <f t="shared" si="11"/>
        <v>0</v>
      </c>
      <c r="K56" s="2">
        <f>(J56*$N$3)/$N$2</f>
        <v>0</v>
      </c>
    </row>
    <row r="57" spans="1:11" x14ac:dyDescent="0.3">
      <c r="A57" t="s">
        <v>11</v>
      </c>
      <c r="B57">
        <v>12</v>
      </c>
      <c r="C57">
        <v>18</v>
      </c>
      <c r="D57">
        <v>10393976.1328125</v>
      </c>
      <c r="E57">
        <v>0</v>
      </c>
      <c r="F57">
        <v>793.33</v>
      </c>
      <c r="G57" t="s">
        <v>7</v>
      </c>
      <c r="H57">
        <v>3</v>
      </c>
      <c r="I57">
        <f t="shared" si="11"/>
        <v>0.9999982682306946</v>
      </c>
      <c r="J57" s="6">
        <f t="shared" si="11"/>
        <v>0</v>
      </c>
      <c r="K57" s="2">
        <f>(J57*$N$3)/$N$2</f>
        <v>0</v>
      </c>
    </row>
    <row r="58" spans="1:11" x14ac:dyDescent="0.3">
      <c r="A58" t="s">
        <v>11</v>
      </c>
      <c r="B58">
        <v>2001</v>
      </c>
      <c r="C58">
        <v>2</v>
      </c>
      <c r="D58">
        <v>0</v>
      </c>
      <c r="E58">
        <v>0</v>
      </c>
      <c r="F58">
        <v>807.54</v>
      </c>
    </row>
    <row r="59" spans="1:11" x14ac:dyDescent="0.3">
      <c r="A59" t="s">
        <v>11</v>
      </c>
      <c r="B59">
        <v>2001</v>
      </c>
      <c r="C59">
        <v>3</v>
      </c>
      <c r="D59">
        <v>0</v>
      </c>
      <c r="E59">
        <v>0</v>
      </c>
      <c r="F59">
        <v>821.7</v>
      </c>
    </row>
    <row r="60" spans="1:11" x14ac:dyDescent="0.3">
      <c r="A60" t="s">
        <v>11</v>
      </c>
      <c r="B60">
        <v>12</v>
      </c>
      <c r="C60">
        <v>20</v>
      </c>
      <c r="D60">
        <v>10741441.482421899</v>
      </c>
      <c r="E60">
        <v>0</v>
      </c>
      <c r="F60">
        <v>836.66</v>
      </c>
      <c r="G60" t="s">
        <v>6</v>
      </c>
      <c r="H60">
        <v>3</v>
      </c>
      <c r="I60">
        <f t="shared" ref="I60:J62" si="12">D60/(C60+D60)</f>
        <v>0.99999813805597748</v>
      </c>
      <c r="J60" s="6">
        <f t="shared" si="12"/>
        <v>0</v>
      </c>
      <c r="K60" s="2">
        <f>(J60*$N$3)/$N$2</f>
        <v>0</v>
      </c>
    </row>
    <row r="61" spans="1:11" x14ac:dyDescent="0.3">
      <c r="A61" t="s">
        <v>11</v>
      </c>
      <c r="B61">
        <v>12</v>
      </c>
      <c r="C61">
        <v>22</v>
      </c>
      <c r="D61">
        <v>9881561.8828125</v>
      </c>
      <c r="E61">
        <v>0</v>
      </c>
      <c r="F61">
        <v>851.51</v>
      </c>
      <c r="G61" t="s">
        <v>6</v>
      </c>
      <c r="H61">
        <v>3</v>
      </c>
      <c r="I61">
        <f t="shared" si="12"/>
        <v>0.99999777363626507</v>
      </c>
      <c r="J61" s="6">
        <f t="shared" si="12"/>
        <v>0</v>
      </c>
      <c r="K61" s="2">
        <f>(J61*$N$3)/$N$2</f>
        <v>0</v>
      </c>
    </row>
    <row r="62" spans="1:11" x14ac:dyDescent="0.3">
      <c r="A62" t="s">
        <v>11</v>
      </c>
      <c r="B62">
        <v>12</v>
      </c>
      <c r="C62">
        <v>24</v>
      </c>
      <c r="D62">
        <v>10183971.1484375</v>
      </c>
      <c r="E62">
        <v>0</v>
      </c>
      <c r="F62">
        <v>866.48</v>
      </c>
      <c r="G62" t="s">
        <v>6</v>
      </c>
      <c r="H62">
        <v>3</v>
      </c>
      <c r="I62">
        <f t="shared" si="12"/>
        <v>0.99999764336101404</v>
      </c>
      <c r="J62" s="6">
        <f t="shared" si="12"/>
        <v>0</v>
      </c>
      <c r="K62" s="2">
        <f>(J62*$N$3)/$N$2</f>
        <v>0</v>
      </c>
    </row>
    <row r="63" spans="1:11" x14ac:dyDescent="0.3">
      <c r="A63" t="s">
        <v>11</v>
      </c>
      <c r="B63">
        <v>2001</v>
      </c>
      <c r="C63">
        <v>2</v>
      </c>
      <c r="D63">
        <v>0</v>
      </c>
      <c r="E63">
        <v>0</v>
      </c>
      <c r="F63">
        <v>880.94</v>
      </c>
    </row>
    <row r="64" spans="1:11" x14ac:dyDescent="0.3">
      <c r="A64" t="s">
        <v>11</v>
      </c>
      <c r="B64">
        <v>2001</v>
      </c>
      <c r="C64">
        <v>3</v>
      </c>
      <c r="D64">
        <v>0</v>
      </c>
      <c r="E64">
        <v>0</v>
      </c>
      <c r="F64">
        <v>895.12</v>
      </c>
    </row>
    <row r="65" spans="1:11" x14ac:dyDescent="0.3">
      <c r="A65" t="s">
        <v>11</v>
      </c>
      <c r="B65">
        <v>2001</v>
      </c>
      <c r="C65">
        <v>2</v>
      </c>
      <c r="D65">
        <v>0</v>
      </c>
      <c r="E65">
        <v>0</v>
      </c>
      <c r="F65">
        <v>909.56</v>
      </c>
    </row>
    <row r="66" spans="1:11" x14ac:dyDescent="0.3">
      <c r="A66" t="s">
        <v>11</v>
      </c>
      <c r="B66">
        <v>2001</v>
      </c>
      <c r="C66">
        <v>3</v>
      </c>
      <c r="D66">
        <v>0</v>
      </c>
      <c r="E66">
        <v>0</v>
      </c>
      <c r="F66">
        <v>923.74</v>
      </c>
    </row>
    <row r="67" spans="1:11" x14ac:dyDescent="0.3">
      <c r="A67" t="s">
        <v>11</v>
      </c>
      <c r="B67">
        <v>11</v>
      </c>
      <c r="C67">
        <v>14</v>
      </c>
      <c r="D67">
        <v>10336579.994140601</v>
      </c>
      <c r="E67">
        <v>0</v>
      </c>
      <c r="F67">
        <v>938.59</v>
      </c>
      <c r="G67" t="s">
        <v>7</v>
      </c>
      <c r="H67">
        <v>5</v>
      </c>
      <c r="I67">
        <f t="shared" ref="I67:J69" si="13">D67/(C67+D67)</f>
        <v>0.99999864558867191</v>
      </c>
      <c r="J67" s="6">
        <f t="shared" si="13"/>
        <v>0</v>
      </c>
      <c r="K67" s="2">
        <f>(J67*$N$3)/$N$2</f>
        <v>0</v>
      </c>
    </row>
    <row r="68" spans="1:11" x14ac:dyDescent="0.3">
      <c r="A68" t="s">
        <v>11</v>
      </c>
      <c r="B68">
        <v>11</v>
      </c>
      <c r="C68">
        <v>16</v>
      </c>
      <c r="D68">
        <v>10007396.473632799</v>
      </c>
      <c r="E68">
        <v>0</v>
      </c>
      <c r="F68">
        <v>953.58</v>
      </c>
      <c r="G68" t="s">
        <v>7</v>
      </c>
      <c r="H68">
        <v>5</v>
      </c>
      <c r="I68">
        <f t="shared" si="13"/>
        <v>0.99999840118511729</v>
      </c>
      <c r="J68" s="6">
        <f t="shared" si="13"/>
        <v>0</v>
      </c>
      <c r="K68" s="2">
        <f>(J68*$N$3)/$N$2</f>
        <v>0</v>
      </c>
    </row>
    <row r="69" spans="1:11" x14ac:dyDescent="0.3">
      <c r="A69" t="s">
        <v>11</v>
      </c>
      <c r="B69">
        <v>11</v>
      </c>
      <c r="C69">
        <v>18</v>
      </c>
      <c r="D69">
        <v>10451503.7265625</v>
      </c>
      <c r="E69">
        <v>0</v>
      </c>
      <c r="F69">
        <v>968.38</v>
      </c>
      <c r="G69" t="s">
        <v>7</v>
      </c>
      <c r="H69">
        <v>5</v>
      </c>
      <c r="I69">
        <f t="shared" si="13"/>
        <v>0.99999827776275352</v>
      </c>
      <c r="J69" s="6">
        <f t="shared" si="13"/>
        <v>0</v>
      </c>
      <c r="K69" s="2">
        <f>(J69*$N$3)/$N$2</f>
        <v>0</v>
      </c>
    </row>
    <row r="70" spans="1:11" x14ac:dyDescent="0.3">
      <c r="A70" t="s">
        <v>11</v>
      </c>
      <c r="B70">
        <v>2001</v>
      </c>
      <c r="C70">
        <v>2</v>
      </c>
      <c r="D70">
        <v>0</v>
      </c>
      <c r="E70">
        <v>0</v>
      </c>
      <c r="F70">
        <v>982.86</v>
      </c>
    </row>
    <row r="71" spans="1:11" x14ac:dyDescent="0.3">
      <c r="A71" t="s">
        <v>11</v>
      </c>
      <c r="B71">
        <v>2001</v>
      </c>
      <c r="C71">
        <v>3</v>
      </c>
      <c r="D71">
        <v>0</v>
      </c>
      <c r="E71">
        <v>0</v>
      </c>
      <c r="F71">
        <v>997.05</v>
      </c>
    </row>
    <row r="72" spans="1:11" x14ac:dyDescent="0.3">
      <c r="A72" t="s">
        <v>11</v>
      </c>
      <c r="B72">
        <v>11</v>
      </c>
      <c r="C72">
        <v>20</v>
      </c>
      <c r="D72">
        <v>10542482.2539063</v>
      </c>
      <c r="E72">
        <v>0</v>
      </c>
      <c r="F72">
        <v>1011.89</v>
      </c>
      <c r="G72" t="s">
        <v>6</v>
      </c>
      <c r="H72">
        <v>5</v>
      </c>
      <c r="I72">
        <f t="shared" ref="I72:I74" si="14">(D72/C72+D72)</f>
        <v>11069606.366601616</v>
      </c>
      <c r="J72" s="6">
        <f t="shared" ref="J72:J74" si="15">E72/(D72+E72)</f>
        <v>0</v>
      </c>
      <c r="K72" s="2">
        <f>(J72*$N$3)/$N$2</f>
        <v>0</v>
      </c>
    </row>
    <row r="73" spans="1:11" x14ac:dyDescent="0.3">
      <c r="A73" t="s">
        <v>11</v>
      </c>
      <c r="B73">
        <v>11</v>
      </c>
      <c r="C73">
        <v>22</v>
      </c>
      <c r="D73">
        <v>10148046.107421899</v>
      </c>
      <c r="E73">
        <v>0</v>
      </c>
      <c r="F73">
        <v>1026.82</v>
      </c>
      <c r="G73" t="s">
        <v>6</v>
      </c>
      <c r="H73">
        <v>5</v>
      </c>
      <c r="I73">
        <f t="shared" si="14"/>
        <v>10609320.93048653</v>
      </c>
      <c r="J73" s="6">
        <f t="shared" si="15"/>
        <v>0</v>
      </c>
      <c r="K73" s="2">
        <f>(J73*$N$3)/$N$2</f>
        <v>0</v>
      </c>
    </row>
    <row r="74" spans="1:11" x14ac:dyDescent="0.3">
      <c r="A74" t="s">
        <v>11</v>
      </c>
      <c r="B74">
        <v>11</v>
      </c>
      <c r="C74">
        <v>24</v>
      </c>
      <c r="D74">
        <v>4773119.3051757803</v>
      </c>
      <c r="E74">
        <v>0</v>
      </c>
      <c r="F74">
        <v>1041.81</v>
      </c>
      <c r="G74" t="s">
        <v>6</v>
      </c>
      <c r="H74">
        <v>5</v>
      </c>
      <c r="I74">
        <f t="shared" si="14"/>
        <v>4971999.2762247715</v>
      </c>
      <c r="J74" s="6">
        <f t="shared" si="15"/>
        <v>0</v>
      </c>
      <c r="K74" s="2">
        <f>(J74*$N$3)/$N$2</f>
        <v>0</v>
      </c>
    </row>
    <row r="75" spans="1:11" x14ac:dyDescent="0.3">
      <c r="A75" t="s">
        <v>11</v>
      </c>
      <c r="B75">
        <v>2001</v>
      </c>
      <c r="C75">
        <v>2</v>
      </c>
      <c r="D75">
        <v>0</v>
      </c>
      <c r="E75">
        <v>0</v>
      </c>
      <c r="F75">
        <v>1056.1199999999999</v>
      </c>
    </row>
    <row r="76" spans="1:11" x14ac:dyDescent="0.3">
      <c r="A76" t="s">
        <v>11</v>
      </c>
      <c r="B76">
        <v>2001</v>
      </c>
      <c r="C76">
        <v>3</v>
      </c>
      <c r="D76">
        <v>0</v>
      </c>
      <c r="E76">
        <v>0</v>
      </c>
      <c r="F76">
        <v>1070.3</v>
      </c>
    </row>
    <row r="77" spans="1:11" x14ac:dyDescent="0.3">
      <c r="A77" t="s">
        <v>11</v>
      </c>
      <c r="B77">
        <v>2001</v>
      </c>
      <c r="C77">
        <v>2</v>
      </c>
      <c r="D77">
        <v>0</v>
      </c>
      <c r="E77">
        <v>0</v>
      </c>
      <c r="F77">
        <v>1084.75</v>
      </c>
    </row>
    <row r="78" spans="1:11" x14ac:dyDescent="0.3">
      <c r="A78" t="s">
        <v>11</v>
      </c>
      <c r="B78">
        <v>2001</v>
      </c>
      <c r="C78">
        <v>3</v>
      </c>
      <c r="D78">
        <v>0</v>
      </c>
      <c r="E78">
        <v>0</v>
      </c>
      <c r="F78">
        <v>1098.92</v>
      </c>
    </row>
    <row r="79" spans="1:11" x14ac:dyDescent="0.3">
      <c r="A79" t="s">
        <v>11</v>
      </c>
      <c r="B79">
        <v>10</v>
      </c>
      <c r="C79">
        <v>14</v>
      </c>
      <c r="D79">
        <v>7163141.6972656297</v>
      </c>
      <c r="E79">
        <v>0</v>
      </c>
      <c r="F79">
        <v>1113.6300000000001</v>
      </c>
      <c r="G79" t="s">
        <v>7</v>
      </c>
      <c r="H79">
        <v>10</v>
      </c>
      <c r="I79">
        <f t="shared" ref="I79:J81" si="16">D79/(C79+D79)</f>
        <v>0.99999804555413963</v>
      </c>
      <c r="J79" s="6">
        <f t="shared" si="16"/>
        <v>0</v>
      </c>
      <c r="K79" s="2">
        <f>(J79*$N$3)/$N$2</f>
        <v>0</v>
      </c>
    </row>
    <row r="80" spans="1:11" x14ac:dyDescent="0.3">
      <c r="A80" t="s">
        <v>11</v>
      </c>
      <c r="B80">
        <v>10</v>
      </c>
      <c r="C80">
        <v>16</v>
      </c>
      <c r="D80">
        <v>4593812.55224609</v>
      </c>
      <c r="E80">
        <v>0</v>
      </c>
      <c r="F80">
        <v>1128.33</v>
      </c>
      <c r="G80" t="s">
        <v>7</v>
      </c>
      <c r="H80">
        <v>10</v>
      </c>
      <c r="I80">
        <f t="shared" si="16"/>
        <v>0.99999651706636017</v>
      </c>
      <c r="J80" s="6">
        <f t="shared" si="16"/>
        <v>0</v>
      </c>
      <c r="K80" s="2">
        <f>(J80*$N$3)/$N$2</f>
        <v>0</v>
      </c>
    </row>
    <row r="81" spans="1:11" x14ac:dyDescent="0.3">
      <c r="A81" t="s">
        <v>11</v>
      </c>
      <c r="B81">
        <v>10</v>
      </c>
      <c r="C81">
        <v>18</v>
      </c>
      <c r="D81">
        <v>10348115.7617188</v>
      </c>
      <c r="E81">
        <v>0</v>
      </c>
      <c r="F81">
        <v>1143.08</v>
      </c>
      <c r="G81" t="s">
        <v>7</v>
      </c>
      <c r="H81">
        <v>10</v>
      </c>
      <c r="I81">
        <f t="shared" si="16"/>
        <v>0.999998260555921</v>
      </c>
      <c r="J81" s="6">
        <f t="shared" si="16"/>
        <v>0</v>
      </c>
      <c r="K81" s="2">
        <f>(J81*$N$3)/$N$2</f>
        <v>0</v>
      </c>
    </row>
    <row r="82" spans="1:11" x14ac:dyDescent="0.3">
      <c r="A82" t="s">
        <v>11</v>
      </c>
      <c r="B82">
        <v>2001</v>
      </c>
      <c r="C82">
        <v>2</v>
      </c>
      <c r="D82">
        <v>0</v>
      </c>
      <c r="E82">
        <v>0</v>
      </c>
      <c r="F82">
        <v>1157.49</v>
      </c>
    </row>
    <row r="83" spans="1:11" x14ac:dyDescent="0.3">
      <c r="A83" t="s">
        <v>11</v>
      </c>
      <c r="B83">
        <v>2001</v>
      </c>
      <c r="C83">
        <v>3</v>
      </c>
      <c r="D83">
        <v>0</v>
      </c>
      <c r="E83">
        <v>0</v>
      </c>
      <c r="F83">
        <v>1171.67</v>
      </c>
    </row>
    <row r="84" spans="1:11" x14ac:dyDescent="0.3">
      <c r="A84" t="s">
        <v>11</v>
      </c>
      <c r="B84">
        <v>10</v>
      </c>
      <c r="C84">
        <v>20</v>
      </c>
      <c r="D84">
        <v>10553096.978515601</v>
      </c>
      <c r="E84">
        <v>0</v>
      </c>
      <c r="F84">
        <v>1186.4100000000001</v>
      </c>
      <c r="G84" t="s">
        <v>6</v>
      </c>
      <c r="H84">
        <v>10</v>
      </c>
      <c r="I84">
        <f t="shared" ref="I84:J86" si="17">D84/(C84+D84)</f>
        <v>0.9999981048253288</v>
      </c>
      <c r="J84" s="6">
        <f t="shared" si="17"/>
        <v>0</v>
      </c>
      <c r="K84" s="2">
        <f>(J84*$N$3)/$N$2</f>
        <v>0</v>
      </c>
    </row>
    <row r="85" spans="1:11" x14ac:dyDescent="0.3">
      <c r="A85" t="s">
        <v>11</v>
      </c>
      <c r="B85">
        <v>10</v>
      </c>
      <c r="C85">
        <v>22</v>
      </c>
      <c r="D85">
        <v>10581329.603515601</v>
      </c>
      <c r="E85">
        <v>0</v>
      </c>
      <c r="F85">
        <v>1201.1099999999999</v>
      </c>
      <c r="G85" t="s">
        <v>6</v>
      </c>
      <c r="H85">
        <v>10</v>
      </c>
      <c r="I85">
        <f t="shared" si="17"/>
        <v>0.99999792087052541</v>
      </c>
      <c r="J85" s="6">
        <f t="shared" si="17"/>
        <v>0</v>
      </c>
      <c r="K85" s="2">
        <f>(J85*$N$3)/$N$2</f>
        <v>0</v>
      </c>
    </row>
    <row r="86" spans="1:11" x14ac:dyDescent="0.3">
      <c r="A86" t="s">
        <v>11</v>
      </c>
      <c r="B86">
        <v>10</v>
      </c>
      <c r="C86">
        <v>24</v>
      </c>
      <c r="D86">
        <v>6480058.99755859</v>
      </c>
      <c r="E86">
        <v>0</v>
      </c>
      <c r="F86">
        <v>1215.82</v>
      </c>
      <c r="G86" t="s">
        <v>6</v>
      </c>
      <c r="H86">
        <v>10</v>
      </c>
      <c r="I86">
        <f t="shared" si="17"/>
        <v>0.99999629634373366</v>
      </c>
      <c r="J86" s="6">
        <f t="shared" si="17"/>
        <v>0</v>
      </c>
      <c r="K86" s="2">
        <f>(J86*$N$3)/$N$2</f>
        <v>0</v>
      </c>
    </row>
    <row r="87" spans="1:11" x14ac:dyDescent="0.3">
      <c r="A87" t="s">
        <v>11</v>
      </c>
      <c r="B87">
        <v>2001</v>
      </c>
      <c r="C87">
        <v>2</v>
      </c>
      <c r="D87">
        <v>0</v>
      </c>
      <c r="E87">
        <v>0</v>
      </c>
      <c r="F87">
        <v>1230.1400000000001</v>
      </c>
    </row>
    <row r="88" spans="1:11" x14ac:dyDescent="0.3">
      <c r="A88" t="s">
        <v>11</v>
      </c>
      <c r="B88">
        <v>2001</v>
      </c>
      <c r="C88">
        <v>3</v>
      </c>
      <c r="D88">
        <v>0</v>
      </c>
      <c r="E88">
        <v>0</v>
      </c>
      <c r="F88">
        <v>1244.32</v>
      </c>
    </row>
    <row r="89" spans="1:11" x14ac:dyDescent="0.3">
      <c r="A89" t="s">
        <v>11</v>
      </c>
      <c r="B89">
        <v>2001</v>
      </c>
      <c r="C89">
        <v>2</v>
      </c>
      <c r="D89">
        <v>0</v>
      </c>
      <c r="E89">
        <v>0</v>
      </c>
      <c r="F89">
        <v>1258.73</v>
      </c>
    </row>
    <row r="90" spans="1:11" x14ac:dyDescent="0.3">
      <c r="A90" t="s">
        <v>11</v>
      </c>
      <c r="B90">
        <v>2001</v>
      </c>
      <c r="C90">
        <v>3</v>
      </c>
      <c r="D90">
        <v>0</v>
      </c>
      <c r="E90">
        <v>0</v>
      </c>
      <c r="F90">
        <v>1272.96</v>
      </c>
    </row>
    <row r="91" spans="1:11" x14ac:dyDescent="0.3">
      <c r="A91" t="s">
        <v>11</v>
      </c>
      <c r="B91">
        <v>9</v>
      </c>
      <c r="C91">
        <v>14</v>
      </c>
      <c r="D91">
        <v>10495806.001953101</v>
      </c>
      <c r="E91">
        <v>0</v>
      </c>
      <c r="F91">
        <v>1287.6600000000001</v>
      </c>
      <c r="G91" t="s">
        <v>7</v>
      </c>
      <c r="H91">
        <v>20</v>
      </c>
      <c r="I91">
        <f t="shared" ref="I91:J93" si="18">D91/(C91+D91)</f>
        <v>0.99999866613566191</v>
      </c>
      <c r="J91" s="6">
        <f t="shared" si="18"/>
        <v>0</v>
      </c>
      <c r="K91" s="2">
        <f>(J91*$N$3)/$N$2</f>
        <v>0</v>
      </c>
    </row>
    <row r="92" spans="1:11" x14ac:dyDescent="0.3">
      <c r="A92" t="s">
        <v>11</v>
      </c>
      <c r="B92">
        <v>9</v>
      </c>
      <c r="C92">
        <v>16</v>
      </c>
      <c r="D92">
        <v>9649671.6230468806</v>
      </c>
      <c r="E92">
        <v>0</v>
      </c>
      <c r="F92">
        <v>1302.3599999999999</v>
      </c>
      <c r="G92" t="s">
        <v>7</v>
      </c>
      <c r="H92">
        <v>20</v>
      </c>
      <c r="I92">
        <f t="shared" si="18"/>
        <v>0.99999834191523862</v>
      </c>
      <c r="J92" s="6">
        <f t="shared" si="18"/>
        <v>0</v>
      </c>
      <c r="K92" s="2">
        <f>(J92*$N$3)/$N$2</f>
        <v>0</v>
      </c>
    </row>
    <row r="93" spans="1:11" x14ac:dyDescent="0.3">
      <c r="A93" t="s">
        <v>11</v>
      </c>
      <c r="B93">
        <v>9</v>
      </c>
      <c r="C93">
        <v>18</v>
      </c>
      <c r="D93">
        <v>10155979.859375</v>
      </c>
      <c r="E93">
        <v>0</v>
      </c>
      <c r="F93">
        <v>1317.06</v>
      </c>
      <c r="G93" t="s">
        <v>7</v>
      </c>
      <c r="H93">
        <v>20</v>
      </c>
      <c r="I93">
        <f t="shared" si="18"/>
        <v>0.99999822764830704</v>
      </c>
      <c r="J93" s="6">
        <f t="shared" si="18"/>
        <v>0</v>
      </c>
      <c r="K93" s="2">
        <f>(J93*$N$3)/$N$2</f>
        <v>0</v>
      </c>
    </row>
    <row r="94" spans="1:11" x14ac:dyDescent="0.3">
      <c r="A94" t="s">
        <v>11</v>
      </c>
      <c r="B94">
        <v>2001</v>
      </c>
      <c r="C94">
        <v>2</v>
      </c>
      <c r="D94">
        <v>0</v>
      </c>
      <c r="E94">
        <v>0</v>
      </c>
      <c r="F94">
        <v>1331.51</v>
      </c>
    </row>
    <row r="95" spans="1:11" x14ac:dyDescent="0.3">
      <c r="A95" t="s">
        <v>11</v>
      </c>
      <c r="B95">
        <v>2001</v>
      </c>
      <c r="C95">
        <v>3</v>
      </c>
      <c r="D95">
        <v>0</v>
      </c>
      <c r="E95">
        <v>0</v>
      </c>
      <c r="F95">
        <v>1345.72</v>
      </c>
    </row>
    <row r="96" spans="1:11" x14ac:dyDescent="0.3">
      <c r="A96" t="s">
        <v>11</v>
      </c>
      <c r="B96">
        <v>9</v>
      </c>
      <c r="C96">
        <v>20</v>
      </c>
      <c r="D96">
        <v>10365780.171875</v>
      </c>
      <c r="E96">
        <v>10798.28515625</v>
      </c>
      <c r="F96">
        <v>1360.3</v>
      </c>
      <c r="G96" t="s">
        <v>6</v>
      </c>
      <c r="H96">
        <v>20</v>
      </c>
      <c r="I96">
        <f t="shared" ref="I96:J98" si="19">D96/(C96+D96)</f>
        <v>0.99999807057827972</v>
      </c>
      <c r="J96" s="6">
        <f t="shared" si="19"/>
        <v>1.0406402458156135E-3</v>
      </c>
      <c r="K96" s="2">
        <f>(J96*$N$3)/$N$2</f>
        <v>3.5747184016566877E-3</v>
      </c>
    </row>
    <row r="97" spans="1:11" x14ac:dyDescent="0.3">
      <c r="A97" t="s">
        <v>11</v>
      </c>
      <c r="B97">
        <v>9</v>
      </c>
      <c r="C97">
        <v>22</v>
      </c>
      <c r="D97">
        <v>9948467.2880859394</v>
      </c>
      <c r="E97">
        <v>11069.0341796875</v>
      </c>
      <c r="F97">
        <v>1374.99</v>
      </c>
      <c r="G97" t="s">
        <v>6</v>
      </c>
      <c r="H97">
        <v>20</v>
      </c>
      <c r="I97">
        <f t="shared" si="19"/>
        <v>0.99999778860896738</v>
      </c>
      <c r="J97" s="6">
        <f t="shared" si="19"/>
        <v>1.1114005533512108E-3</v>
      </c>
      <c r="K97" s="2">
        <f>(J97*$N$3)/$N$2</f>
        <v>3.8177881603667545E-3</v>
      </c>
    </row>
    <row r="98" spans="1:11" x14ac:dyDescent="0.3">
      <c r="A98" t="s">
        <v>11</v>
      </c>
      <c r="B98">
        <v>9</v>
      </c>
      <c r="C98">
        <v>24</v>
      </c>
      <c r="D98">
        <v>5211122.7529296903</v>
      </c>
      <c r="E98">
        <v>0</v>
      </c>
      <c r="F98">
        <v>1389.76</v>
      </c>
      <c r="G98" t="s">
        <v>6</v>
      </c>
      <c r="H98">
        <v>20</v>
      </c>
      <c r="I98">
        <f t="shared" si="19"/>
        <v>0.99999539448778973</v>
      </c>
      <c r="J98" s="6">
        <f t="shared" si="19"/>
        <v>0</v>
      </c>
      <c r="K98" s="2">
        <f>(J98*$N$3)/$N$2</f>
        <v>0</v>
      </c>
    </row>
    <row r="99" spans="1:11" x14ac:dyDescent="0.3">
      <c r="A99" t="s">
        <v>11</v>
      </c>
      <c r="B99">
        <v>2001</v>
      </c>
      <c r="C99">
        <v>2</v>
      </c>
      <c r="D99">
        <v>0</v>
      </c>
      <c r="E99">
        <v>0</v>
      </c>
      <c r="F99">
        <v>1404.1</v>
      </c>
    </row>
    <row r="100" spans="1:11" x14ac:dyDescent="0.3">
      <c r="A100" t="s">
        <v>11</v>
      </c>
      <c r="B100">
        <v>2001</v>
      </c>
      <c r="C100">
        <v>3</v>
      </c>
      <c r="D100">
        <v>0</v>
      </c>
      <c r="E100">
        <v>0</v>
      </c>
      <c r="F100">
        <v>1418.33</v>
      </c>
    </row>
    <row r="101" spans="1:11" x14ac:dyDescent="0.3">
      <c r="A101" t="s">
        <v>11</v>
      </c>
      <c r="B101">
        <v>2001</v>
      </c>
      <c r="C101">
        <v>2</v>
      </c>
      <c r="D101">
        <v>0</v>
      </c>
      <c r="E101">
        <v>0</v>
      </c>
      <c r="F101">
        <v>1432.67</v>
      </c>
    </row>
    <row r="102" spans="1:11" x14ac:dyDescent="0.3">
      <c r="A102" t="s">
        <v>11</v>
      </c>
      <c r="B102">
        <v>2001</v>
      </c>
      <c r="C102">
        <v>3</v>
      </c>
      <c r="D102">
        <v>0</v>
      </c>
      <c r="E102">
        <v>0</v>
      </c>
      <c r="F102">
        <v>1446.98</v>
      </c>
    </row>
    <row r="103" spans="1:11" x14ac:dyDescent="0.3">
      <c r="A103" t="s">
        <v>11</v>
      </c>
      <c r="B103">
        <v>2001</v>
      </c>
      <c r="C103">
        <v>2</v>
      </c>
      <c r="D103">
        <v>0</v>
      </c>
      <c r="E103">
        <v>0</v>
      </c>
      <c r="F103">
        <v>1461.27</v>
      </c>
    </row>
    <row r="104" spans="1:11" x14ac:dyDescent="0.3">
      <c r="A104" t="s">
        <v>11</v>
      </c>
      <c r="B104">
        <v>2001</v>
      </c>
      <c r="C104">
        <v>3</v>
      </c>
      <c r="D104">
        <v>0</v>
      </c>
      <c r="E104">
        <v>0</v>
      </c>
      <c r="F104">
        <v>1475.5</v>
      </c>
    </row>
    <row r="105" spans="1:11" x14ac:dyDescent="0.3">
      <c r="A105" t="s">
        <v>11</v>
      </c>
      <c r="B105">
        <v>8</v>
      </c>
      <c r="C105">
        <v>14</v>
      </c>
      <c r="D105">
        <v>9206513.515625</v>
      </c>
      <c r="E105">
        <v>0</v>
      </c>
      <c r="F105">
        <v>1490.21</v>
      </c>
      <c r="G105" t="s">
        <v>7</v>
      </c>
      <c r="H105">
        <v>40</v>
      </c>
      <c r="I105">
        <f t="shared" ref="I105:J107" si="20">D105/(C105+D105)</f>
        <v>0.99999847933979713</v>
      </c>
      <c r="J105" s="6">
        <f t="shared" si="20"/>
        <v>0</v>
      </c>
      <c r="K105" s="2">
        <f>(J105*$N$3)/$N$2</f>
        <v>0</v>
      </c>
    </row>
    <row r="106" spans="1:11" x14ac:dyDescent="0.3">
      <c r="A106" t="s">
        <v>11</v>
      </c>
      <c r="B106">
        <v>8</v>
      </c>
      <c r="C106">
        <v>16</v>
      </c>
      <c r="D106">
        <v>9337304.56396484</v>
      </c>
      <c r="E106">
        <v>0</v>
      </c>
      <c r="F106">
        <v>1504.92</v>
      </c>
      <c r="G106" t="s">
        <v>7</v>
      </c>
      <c r="H106">
        <v>40</v>
      </c>
      <c r="I106">
        <f t="shared" si="20"/>
        <v>0.99999828644632149</v>
      </c>
      <c r="J106" s="6">
        <f t="shared" si="20"/>
        <v>0</v>
      </c>
      <c r="K106" s="2">
        <f>(J106*$N$3)/$N$2</f>
        <v>0</v>
      </c>
    </row>
    <row r="107" spans="1:11" x14ac:dyDescent="0.3">
      <c r="A107" t="s">
        <v>11</v>
      </c>
      <c r="B107">
        <v>8</v>
      </c>
      <c r="C107">
        <v>18</v>
      </c>
      <c r="D107">
        <v>9684037.8720703106</v>
      </c>
      <c r="E107">
        <v>0</v>
      </c>
      <c r="F107">
        <v>1519.62</v>
      </c>
      <c r="G107" t="s">
        <v>7</v>
      </c>
      <c r="H107">
        <v>40</v>
      </c>
      <c r="I107">
        <f t="shared" si="20"/>
        <v>0.99999814127466446</v>
      </c>
      <c r="J107" s="6">
        <f t="shared" si="20"/>
        <v>0</v>
      </c>
      <c r="K107" s="2">
        <f>(J107*$N$3)/$N$2</f>
        <v>0</v>
      </c>
    </row>
    <row r="108" spans="1:11" x14ac:dyDescent="0.3">
      <c r="A108" t="s">
        <v>11</v>
      </c>
      <c r="B108">
        <v>2001</v>
      </c>
      <c r="C108">
        <v>2</v>
      </c>
      <c r="D108">
        <v>0</v>
      </c>
      <c r="E108">
        <v>0</v>
      </c>
      <c r="F108">
        <v>1533.93</v>
      </c>
    </row>
    <row r="109" spans="1:11" x14ac:dyDescent="0.3">
      <c r="A109" t="s">
        <v>11</v>
      </c>
      <c r="B109">
        <v>2001</v>
      </c>
      <c r="C109">
        <v>3</v>
      </c>
      <c r="D109">
        <v>0</v>
      </c>
      <c r="E109">
        <v>0</v>
      </c>
      <c r="F109">
        <v>1548.12</v>
      </c>
    </row>
    <row r="110" spans="1:11" x14ac:dyDescent="0.3">
      <c r="A110" t="s">
        <v>11</v>
      </c>
      <c r="B110">
        <v>2001</v>
      </c>
      <c r="C110">
        <v>2</v>
      </c>
      <c r="D110">
        <v>0</v>
      </c>
      <c r="E110">
        <v>0</v>
      </c>
      <c r="F110">
        <v>1562.59</v>
      </c>
    </row>
    <row r="111" spans="1:11" x14ac:dyDescent="0.3">
      <c r="A111" t="s">
        <v>11</v>
      </c>
      <c r="B111">
        <v>2001</v>
      </c>
      <c r="C111">
        <v>3</v>
      </c>
      <c r="D111">
        <v>0</v>
      </c>
      <c r="E111">
        <v>0</v>
      </c>
      <c r="F111">
        <v>1576.76</v>
      </c>
    </row>
    <row r="112" spans="1:11" x14ac:dyDescent="0.3">
      <c r="A112" t="s">
        <v>11</v>
      </c>
      <c r="B112">
        <v>8</v>
      </c>
      <c r="C112">
        <v>20</v>
      </c>
      <c r="D112">
        <v>9381834.8769531306</v>
      </c>
      <c r="E112">
        <v>50280.011230468801</v>
      </c>
      <c r="F112">
        <v>1591.46</v>
      </c>
      <c r="G112" t="s">
        <v>6</v>
      </c>
      <c r="H112">
        <v>40</v>
      </c>
      <c r="I112">
        <f t="shared" ref="I112:J114" si="21">D112/(C112+D112)</f>
        <v>0.99999786822539227</v>
      </c>
      <c r="J112" s="6">
        <f t="shared" si="21"/>
        <v>5.3307250628868803E-3</v>
      </c>
      <c r="K112" s="2">
        <f>(J112*$N$3)/$N$2</f>
        <v>1.8311650979382411E-2</v>
      </c>
    </row>
    <row r="113" spans="1:11" x14ac:dyDescent="0.3">
      <c r="A113" t="s">
        <v>11</v>
      </c>
      <c r="B113">
        <v>8</v>
      </c>
      <c r="C113">
        <v>22</v>
      </c>
      <c r="D113">
        <v>5626029.74609375</v>
      </c>
      <c r="E113">
        <v>11965.5048828125</v>
      </c>
      <c r="F113">
        <v>1606.2</v>
      </c>
      <c r="G113" t="s">
        <v>6</v>
      </c>
      <c r="H113">
        <v>40</v>
      </c>
      <c r="I113">
        <f t="shared" si="21"/>
        <v>0.99999608962004027</v>
      </c>
      <c r="J113" s="6">
        <f t="shared" si="21"/>
        <v>2.1222977938372585E-3</v>
      </c>
      <c r="K113" s="2">
        <f>(J113*$N$3)/$N$2</f>
        <v>7.29033593302875E-3</v>
      </c>
    </row>
    <row r="114" spans="1:11" x14ac:dyDescent="0.3">
      <c r="A114" t="s">
        <v>11</v>
      </c>
      <c r="B114">
        <v>8</v>
      </c>
      <c r="C114">
        <v>24</v>
      </c>
      <c r="D114">
        <v>7014002.16015625</v>
      </c>
      <c r="E114">
        <v>41557.8798828125</v>
      </c>
      <c r="F114">
        <v>1620.78</v>
      </c>
      <c r="G114" t="s">
        <v>6</v>
      </c>
      <c r="H114">
        <v>40</v>
      </c>
      <c r="I114">
        <f t="shared" si="21"/>
        <v>0.99999657828478938</v>
      </c>
      <c r="J114" s="6">
        <f t="shared" si="21"/>
        <v>5.8900894680193831E-3</v>
      </c>
      <c r="K114" s="2">
        <f>(J114*$N$3)/$N$2</f>
        <v>2.0233131760371927E-2</v>
      </c>
    </row>
    <row r="115" spans="1:11" x14ac:dyDescent="0.3">
      <c r="A115" t="s">
        <v>11</v>
      </c>
      <c r="B115">
        <v>2001</v>
      </c>
      <c r="C115">
        <v>2</v>
      </c>
      <c r="D115">
        <v>0</v>
      </c>
      <c r="E115">
        <v>0</v>
      </c>
      <c r="F115">
        <v>1635.22</v>
      </c>
    </row>
    <row r="116" spans="1:11" x14ac:dyDescent="0.3">
      <c r="A116" t="s">
        <v>11</v>
      </c>
      <c r="B116">
        <v>2001</v>
      </c>
      <c r="C116">
        <v>3</v>
      </c>
      <c r="D116">
        <v>0</v>
      </c>
      <c r="E116">
        <v>0</v>
      </c>
      <c r="F116">
        <v>1649.49</v>
      </c>
    </row>
    <row r="117" spans="1:11" x14ac:dyDescent="0.3">
      <c r="A117" t="s">
        <v>11</v>
      </c>
      <c r="B117">
        <v>2001</v>
      </c>
      <c r="C117">
        <v>2</v>
      </c>
      <c r="D117">
        <v>0</v>
      </c>
      <c r="E117">
        <v>0</v>
      </c>
      <c r="F117">
        <v>1663.8</v>
      </c>
    </row>
    <row r="118" spans="1:11" x14ac:dyDescent="0.3">
      <c r="A118" t="s">
        <v>11</v>
      </c>
      <c r="B118">
        <v>2001</v>
      </c>
      <c r="C118">
        <v>3</v>
      </c>
      <c r="D118">
        <v>0</v>
      </c>
      <c r="E118">
        <v>0</v>
      </c>
      <c r="F118">
        <v>1677.99</v>
      </c>
    </row>
    <row r="119" spans="1:11" x14ac:dyDescent="0.3">
      <c r="A119" t="s">
        <v>11</v>
      </c>
      <c r="B119">
        <v>7</v>
      </c>
      <c r="C119">
        <v>14</v>
      </c>
      <c r="D119">
        <v>4649935.30859375</v>
      </c>
      <c r="E119">
        <v>0</v>
      </c>
      <c r="F119">
        <v>1692.68</v>
      </c>
      <c r="G119" t="s">
        <v>7</v>
      </c>
      <c r="H119">
        <v>60</v>
      </c>
      <c r="I119">
        <f t="shared" ref="I119:J121" si="22">D119/(C119+D119)</f>
        <v>0.9999969892144901</v>
      </c>
      <c r="J119" s="6">
        <f t="shared" si="22"/>
        <v>0</v>
      </c>
      <c r="K119" s="2">
        <f>(J119*$N$3)/$N$2</f>
        <v>0</v>
      </c>
    </row>
    <row r="120" spans="1:11" x14ac:dyDescent="0.3">
      <c r="A120" t="s">
        <v>11</v>
      </c>
      <c r="B120">
        <v>7</v>
      </c>
      <c r="C120">
        <v>16</v>
      </c>
      <c r="D120">
        <v>5883668.9443359403</v>
      </c>
      <c r="E120">
        <v>0</v>
      </c>
      <c r="F120">
        <v>1707.41</v>
      </c>
      <c r="G120" t="s">
        <v>7</v>
      </c>
      <c r="H120">
        <v>60</v>
      </c>
      <c r="I120">
        <f t="shared" si="22"/>
        <v>0.99999728061577886</v>
      </c>
      <c r="J120" s="6">
        <f t="shared" si="22"/>
        <v>0</v>
      </c>
      <c r="K120" s="2">
        <f>(J120*$N$3)/$N$2</f>
        <v>0</v>
      </c>
    </row>
    <row r="121" spans="1:11" x14ac:dyDescent="0.3">
      <c r="A121" t="s">
        <v>11</v>
      </c>
      <c r="B121">
        <v>7</v>
      </c>
      <c r="C121">
        <v>18</v>
      </c>
      <c r="D121">
        <v>9189944.2910156306</v>
      </c>
      <c r="E121">
        <v>0</v>
      </c>
      <c r="F121">
        <v>1722.08</v>
      </c>
      <c r="G121" t="s">
        <v>7</v>
      </c>
      <c r="H121">
        <v>60</v>
      </c>
      <c r="I121">
        <f t="shared" si="22"/>
        <v>0.99999804134125581</v>
      </c>
      <c r="J121" s="6">
        <f t="shared" si="22"/>
        <v>0</v>
      </c>
      <c r="K121" s="2">
        <f>(J121*$N$3)/$N$2</f>
        <v>0</v>
      </c>
    </row>
    <row r="122" spans="1:11" x14ac:dyDescent="0.3">
      <c r="A122" t="s">
        <v>11</v>
      </c>
      <c r="B122">
        <v>2001</v>
      </c>
      <c r="C122">
        <v>2</v>
      </c>
      <c r="D122">
        <v>0</v>
      </c>
      <c r="E122">
        <v>0</v>
      </c>
      <c r="F122">
        <v>1736.53</v>
      </c>
    </row>
    <row r="123" spans="1:11" x14ac:dyDescent="0.3">
      <c r="A123" t="s">
        <v>11</v>
      </c>
      <c r="B123">
        <v>2001</v>
      </c>
      <c r="C123">
        <v>3</v>
      </c>
      <c r="D123">
        <v>0</v>
      </c>
      <c r="E123">
        <v>0</v>
      </c>
      <c r="F123">
        <v>1750.71</v>
      </c>
    </row>
    <row r="124" spans="1:11" x14ac:dyDescent="0.3">
      <c r="A124" t="s">
        <v>11</v>
      </c>
      <c r="B124">
        <v>2001</v>
      </c>
      <c r="C124">
        <v>2</v>
      </c>
      <c r="D124">
        <v>0</v>
      </c>
      <c r="E124">
        <v>0</v>
      </c>
      <c r="F124">
        <v>1765.14</v>
      </c>
    </row>
    <row r="125" spans="1:11" x14ac:dyDescent="0.3">
      <c r="A125" t="s">
        <v>11</v>
      </c>
      <c r="B125">
        <v>2001</v>
      </c>
      <c r="C125">
        <v>3</v>
      </c>
      <c r="D125">
        <v>0</v>
      </c>
      <c r="E125">
        <v>0</v>
      </c>
      <c r="F125">
        <v>1779.31</v>
      </c>
    </row>
    <row r="126" spans="1:11" x14ac:dyDescent="0.3">
      <c r="A126" t="s">
        <v>11</v>
      </c>
      <c r="B126">
        <v>7</v>
      </c>
      <c r="C126">
        <v>20</v>
      </c>
      <c r="D126">
        <v>8421928.2558593806</v>
      </c>
      <c r="E126">
        <v>84800.407714843794</v>
      </c>
      <c r="F126">
        <v>1793.99</v>
      </c>
      <c r="G126" t="s">
        <v>6</v>
      </c>
      <c r="H126">
        <v>60</v>
      </c>
      <c r="I126">
        <f t="shared" ref="I126:J128" si="23">D126/(C126+D126)</f>
        <v>0.99999762525256719</v>
      </c>
      <c r="J126" s="6">
        <f t="shared" si="23"/>
        <v>9.9686273147465924E-3</v>
      </c>
      <c r="K126" s="2">
        <f>(J126*$N$3)/$N$2</f>
        <v>3.4243376272030279E-2</v>
      </c>
    </row>
    <row r="127" spans="1:11" x14ac:dyDescent="0.3">
      <c r="A127" t="s">
        <v>11</v>
      </c>
      <c r="B127">
        <v>7</v>
      </c>
      <c r="C127">
        <v>22</v>
      </c>
      <c r="D127">
        <v>8898158.9296875</v>
      </c>
      <c r="E127">
        <v>92865.5654296875</v>
      </c>
      <c r="F127">
        <v>1808.73</v>
      </c>
      <c r="G127" t="s">
        <v>6</v>
      </c>
      <c r="H127">
        <v>60</v>
      </c>
      <c r="I127">
        <f t="shared" si="23"/>
        <v>0.99999752758455085</v>
      </c>
      <c r="J127" s="6">
        <f t="shared" si="23"/>
        <v>1.0328696744194234E-2</v>
      </c>
      <c r="K127" s="2">
        <f>(J127*$N$3)/$N$2</f>
        <v>3.5480255991506907E-2</v>
      </c>
    </row>
    <row r="128" spans="1:11" x14ac:dyDescent="0.3">
      <c r="A128" t="s">
        <v>11</v>
      </c>
      <c r="B128">
        <v>7</v>
      </c>
      <c r="C128">
        <v>24</v>
      </c>
      <c r="D128">
        <v>1868820.49853516</v>
      </c>
      <c r="E128">
        <v>0</v>
      </c>
      <c r="F128">
        <v>1823.43</v>
      </c>
      <c r="G128" t="s">
        <v>6</v>
      </c>
      <c r="H128">
        <v>60</v>
      </c>
      <c r="I128">
        <f t="shared" si="23"/>
        <v>0.99998715784003489</v>
      </c>
      <c r="J128" s="6">
        <f t="shared" si="23"/>
        <v>0</v>
      </c>
      <c r="K128" s="2">
        <f>(J128*$N$3)/$N$2</f>
        <v>0</v>
      </c>
    </row>
    <row r="129" spans="1:11" x14ac:dyDescent="0.3">
      <c r="A129" t="s">
        <v>11</v>
      </c>
      <c r="B129">
        <v>2001</v>
      </c>
      <c r="C129">
        <v>2</v>
      </c>
      <c r="D129">
        <v>0</v>
      </c>
      <c r="E129">
        <v>0</v>
      </c>
      <c r="F129">
        <v>1837.89</v>
      </c>
    </row>
    <row r="130" spans="1:11" x14ac:dyDescent="0.3">
      <c r="A130" t="s">
        <v>11</v>
      </c>
      <c r="B130">
        <v>2001</v>
      </c>
      <c r="C130">
        <v>3</v>
      </c>
      <c r="D130">
        <v>0</v>
      </c>
      <c r="E130">
        <v>0</v>
      </c>
      <c r="F130">
        <v>1852.08</v>
      </c>
    </row>
    <row r="131" spans="1:11" x14ac:dyDescent="0.3">
      <c r="A131" t="s">
        <v>11</v>
      </c>
      <c r="B131">
        <v>2001</v>
      </c>
      <c r="C131">
        <v>2</v>
      </c>
      <c r="D131">
        <v>0</v>
      </c>
      <c r="E131">
        <v>0</v>
      </c>
      <c r="F131">
        <v>1866.41</v>
      </c>
    </row>
    <row r="132" spans="1:11" x14ac:dyDescent="0.3">
      <c r="A132" t="s">
        <v>11</v>
      </c>
      <c r="B132">
        <v>2001</v>
      </c>
      <c r="C132">
        <v>3</v>
      </c>
      <c r="D132">
        <v>0</v>
      </c>
      <c r="E132">
        <v>0</v>
      </c>
      <c r="F132">
        <v>1880.6</v>
      </c>
    </row>
    <row r="133" spans="1:11" x14ac:dyDescent="0.3">
      <c r="A133" t="s">
        <v>11</v>
      </c>
      <c r="B133">
        <v>6</v>
      </c>
      <c r="C133">
        <v>14</v>
      </c>
      <c r="D133">
        <v>3416640.18359375</v>
      </c>
      <c r="E133">
        <v>0</v>
      </c>
      <c r="F133">
        <v>1895.29</v>
      </c>
      <c r="G133" t="s">
        <v>7</v>
      </c>
      <c r="H133">
        <v>90</v>
      </c>
      <c r="I133">
        <f t="shared" ref="I133:J135" si="24">D133/(C133+D133)</f>
        <v>0.99999590242405356</v>
      </c>
      <c r="J133" s="6">
        <f t="shared" si="24"/>
        <v>0</v>
      </c>
      <c r="K133" s="2">
        <f>(J133*$N$3)/$N$2</f>
        <v>0</v>
      </c>
    </row>
    <row r="134" spans="1:11" x14ac:dyDescent="0.3">
      <c r="A134" t="s">
        <v>11</v>
      </c>
      <c r="B134">
        <v>6</v>
      </c>
      <c r="C134">
        <v>16</v>
      </c>
      <c r="D134">
        <v>8351675.4003906297</v>
      </c>
      <c r="E134">
        <v>0</v>
      </c>
      <c r="F134">
        <v>1909.99</v>
      </c>
      <c r="G134" t="s">
        <v>7</v>
      </c>
      <c r="H134">
        <v>90</v>
      </c>
      <c r="I134">
        <f t="shared" si="24"/>
        <v>0.99999808422040126</v>
      </c>
      <c r="J134" s="6">
        <f t="shared" si="24"/>
        <v>0</v>
      </c>
      <c r="K134" s="2">
        <f>(J134*$N$3)/$N$2</f>
        <v>0</v>
      </c>
    </row>
    <row r="135" spans="1:11" x14ac:dyDescent="0.3">
      <c r="A135" t="s">
        <v>11</v>
      </c>
      <c r="B135">
        <v>6</v>
      </c>
      <c r="C135">
        <v>18</v>
      </c>
      <c r="D135">
        <v>8229575.8105468797</v>
      </c>
      <c r="E135">
        <v>0</v>
      </c>
      <c r="F135">
        <v>1924.71</v>
      </c>
      <c r="G135" t="s">
        <v>7</v>
      </c>
      <c r="H135">
        <v>90</v>
      </c>
      <c r="I135">
        <f t="shared" si="24"/>
        <v>0.99999781277175837</v>
      </c>
      <c r="J135" s="6">
        <f t="shared" si="24"/>
        <v>0</v>
      </c>
      <c r="K135" s="2">
        <f>(J135*$N$3)/$N$2</f>
        <v>0</v>
      </c>
    </row>
    <row r="136" spans="1:11" x14ac:dyDescent="0.3">
      <c r="A136" t="s">
        <v>11</v>
      </c>
      <c r="B136">
        <v>2001</v>
      </c>
      <c r="C136">
        <v>2</v>
      </c>
      <c r="D136">
        <v>0</v>
      </c>
      <c r="E136">
        <v>0</v>
      </c>
      <c r="F136">
        <v>1939.14</v>
      </c>
    </row>
    <row r="137" spans="1:11" x14ac:dyDescent="0.3">
      <c r="A137" t="s">
        <v>11</v>
      </c>
      <c r="B137">
        <v>2001</v>
      </c>
      <c r="C137">
        <v>3</v>
      </c>
      <c r="D137">
        <v>0</v>
      </c>
      <c r="E137">
        <v>0</v>
      </c>
      <c r="F137">
        <v>1953.34</v>
      </c>
    </row>
    <row r="138" spans="1:11" x14ac:dyDescent="0.3">
      <c r="A138" t="s">
        <v>11</v>
      </c>
      <c r="B138">
        <v>2001</v>
      </c>
      <c r="C138">
        <v>2</v>
      </c>
      <c r="D138">
        <v>0</v>
      </c>
      <c r="E138">
        <v>0</v>
      </c>
      <c r="F138">
        <v>1967.78</v>
      </c>
    </row>
    <row r="139" spans="1:11" x14ac:dyDescent="0.3">
      <c r="A139" t="s">
        <v>11</v>
      </c>
      <c r="B139">
        <v>2001</v>
      </c>
      <c r="C139">
        <v>3</v>
      </c>
      <c r="D139">
        <v>0</v>
      </c>
      <c r="E139">
        <v>0</v>
      </c>
      <c r="F139">
        <v>1981.95</v>
      </c>
    </row>
    <row r="140" spans="1:11" x14ac:dyDescent="0.3">
      <c r="A140" t="s">
        <v>11</v>
      </c>
      <c r="B140">
        <v>6</v>
      </c>
      <c r="C140">
        <v>20</v>
      </c>
      <c r="D140">
        <v>8000261.2167968797</v>
      </c>
      <c r="E140">
        <v>155454.904296875</v>
      </c>
      <c r="F140">
        <v>1996.64</v>
      </c>
      <c r="G140" t="s">
        <v>6</v>
      </c>
      <c r="H140">
        <v>90</v>
      </c>
      <c r="I140">
        <f t="shared" ref="I140:J142" si="25">D140/(C140+D140)</f>
        <v>0.99999750008787713</v>
      </c>
      <c r="J140" s="6">
        <f t="shared" si="25"/>
        <v>1.9060852779660888E-2</v>
      </c>
      <c r="K140" s="2">
        <f>(J140*$N$3)/$N$2</f>
        <v>6.5476211838529766E-2</v>
      </c>
    </row>
    <row r="141" spans="1:11" x14ac:dyDescent="0.3">
      <c r="A141" t="s">
        <v>11</v>
      </c>
      <c r="B141">
        <v>6</v>
      </c>
      <c r="C141">
        <v>22</v>
      </c>
      <c r="D141">
        <v>8645710.7963867206</v>
      </c>
      <c r="E141">
        <v>155575.55566406299</v>
      </c>
      <c r="F141">
        <v>2011.35</v>
      </c>
      <c r="G141" t="s">
        <v>6</v>
      </c>
      <c r="H141">
        <v>90</v>
      </c>
      <c r="I141">
        <f t="shared" si="25"/>
        <v>0.99999745539209706</v>
      </c>
      <c r="J141" s="6">
        <f t="shared" si="25"/>
        <v>1.7676456536130359E-2</v>
      </c>
      <c r="K141" s="2">
        <f>(J141*$N$3)/$N$2</f>
        <v>6.0720652223348562E-2</v>
      </c>
    </row>
    <row r="142" spans="1:11" x14ac:dyDescent="0.3">
      <c r="A142" t="s">
        <v>11</v>
      </c>
      <c r="B142">
        <v>6</v>
      </c>
      <c r="C142">
        <v>24</v>
      </c>
      <c r="D142">
        <v>7902947.86083984</v>
      </c>
      <c r="E142">
        <v>189379.03271484401</v>
      </c>
      <c r="F142">
        <v>2026.03</v>
      </c>
      <c r="G142" t="s">
        <v>6</v>
      </c>
      <c r="H142">
        <v>90</v>
      </c>
      <c r="I142">
        <f t="shared" si="25"/>
        <v>0.9999969631677269</v>
      </c>
      <c r="J142" s="6">
        <f t="shared" si="25"/>
        <v>2.3402296423007729E-2</v>
      </c>
      <c r="K142" s="2">
        <f>(J142*$N$3)/$N$2</f>
        <v>8.0389567865293721E-2</v>
      </c>
    </row>
    <row r="143" spans="1:11" x14ac:dyDescent="0.3">
      <c r="A143" t="s">
        <v>11</v>
      </c>
      <c r="B143">
        <v>2001</v>
      </c>
      <c r="C143">
        <v>2</v>
      </c>
      <c r="D143">
        <v>0</v>
      </c>
      <c r="E143">
        <v>0</v>
      </c>
      <c r="F143">
        <v>2040.36</v>
      </c>
    </row>
    <row r="144" spans="1:11" x14ac:dyDescent="0.3">
      <c r="A144" t="s">
        <v>11</v>
      </c>
      <c r="B144">
        <v>2001</v>
      </c>
      <c r="C144">
        <v>3</v>
      </c>
      <c r="D144">
        <v>0</v>
      </c>
      <c r="E144">
        <v>0</v>
      </c>
      <c r="F144">
        <v>2054.5700000000002</v>
      </c>
    </row>
    <row r="145" spans="1:11" x14ac:dyDescent="0.3">
      <c r="A145" t="s">
        <v>11</v>
      </c>
      <c r="B145">
        <v>2001</v>
      </c>
      <c r="C145">
        <v>2</v>
      </c>
      <c r="D145">
        <v>0</v>
      </c>
      <c r="E145">
        <v>0</v>
      </c>
      <c r="F145">
        <v>2069.0100000000002</v>
      </c>
    </row>
    <row r="146" spans="1:11" x14ac:dyDescent="0.3">
      <c r="A146" t="s">
        <v>11</v>
      </c>
      <c r="B146">
        <v>2001</v>
      </c>
      <c r="C146">
        <v>3</v>
      </c>
      <c r="D146">
        <v>0</v>
      </c>
      <c r="E146">
        <v>0</v>
      </c>
      <c r="F146">
        <v>2083.1999999999998</v>
      </c>
    </row>
    <row r="147" spans="1:11" x14ac:dyDescent="0.3">
      <c r="A147" t="s">
        <v>11</v>
      </c>
      <c r="B147">
        <v>2001</v>
      </c>
      <c r="C147">
        <v>2</v>
      </c>
      <c r="D147">
        <v>0</v>
      </c>
      <c r="E147">
        <v>0</v>
      </c>
      <c r="F147">
        <v>2097.65</v>
      </c>
    </row>
    <row r="148" spans="1:11" x14ac:dyDescent="0.3">
      <c r="A148" t="s">
        <v>11</v>
      </c>
      <c r="B148">
        <v>2001</v>
      </c>
      <c r="C148">
        <v>3</v>
      </c>
      <c r="D148">
        <v>0</v>
      </c>
      <c r="E148">
        <v>0</v>
      </c>
      <c r="F148">
        <v>2111.84</v>
      </c>
    </row>
    <row r="149" spans="1:11" x14ac:dyDescent="0.3">
      <c r="A149" t="s">
        <v>11</v>
      </c>
      <c r="B149">
        <v>5</v>
      </c>
      <c r="C149">
        <v>14</v>
      </c>
      <c r="D149">
        <v>1539468.8457031299</v>
      </c>
      <c r="E149">
        <v>0</v>
      </c>
      <c r="F149">
        <v>2126.52</v>
      </c>
      <c r="G149" t="s">
        <v>7</v>
      </c>
      <c r="H149">
        <v>120</v>
      </c>
      <c r="I149">
        <f t="shared" ref="I149:J151" si="26">D149/(C149+D149)</f>
        <v>0.99999090603702467</v>
      </c>
      <c r="J149" s="6">
        <f t="shared" si="26"/>
        <v>0</v>
      </c>
      <c r="K149" s="2">
        <f>(J149*$N$3)/$N$2</f>
        <v>0</v>
      </c>
    </row>
    <row r="150" spans="1:11" x14ac:dyDescent="0.3">
      <c r="A150" t="s">
        <v>11</v>
      </c>
      <c r="B150">
        <v>5</v>
      </c>
      <c r="C150">
        <v>16</v>
      </c>
      <c r="D150">
        <v>6429041.1503906297</v>
      </c>
      <c r="E150">
        <v>0</v>
      </c>
      <c r="F150">
        <v>2141.2399999999998</v>
      </c>
      <c r="G150" t="s">
        <v>7</v>
      </c>
      <c r="H150">
        <v>120</v>
      </c>
      <c r="I150">
        <f t="shared" si="26"/>
        <v>0.99999751129914916</v>
      </c>
      <c r="J150" s="6">
        <f t="shared" si="26"/>
        <v>0</v>
      </c>
      <c r="K150" s="2">
        <f>(J150*$N$3)/$N$2</f>
        <v>0</v>
      </c>
    </row>
    <row r="151" spans="1:11" x14ac:dyDescent="0.3">
      <c r="A151" t="s">
        <v>11</v>
      </c>
      <c r="B151">
        <v>5</v>
      </c>
      <c r="C151">
        <v>18</v>
      </c>
      <c r="D151">
        <v>7440379.85546875</v>
      </c>
      <c r="E151">
        <v>11550.000488281299</v>
      </c>
      <c r="F151">
        <v>2155.9299999999998</v>
      </c>
      <c r="G151" t="s">
        <v>7</v>
      </c>
      <c r="H151">
        <v>120</v>
      </c>
      <c r="I151">
        <f t="shared" si="26"/>
        <v>0.99999758077452983</v>
      </c>
      <c r="J151" s="6">
        <f t="shared" si="26"/>
        <v>1.5499341394160189E-3</v>
      </c>
      <c r="K151" s="2">
        <f>(J151*$N$3)/$N$2</f>
        <v>5.3242012422687673E-3</v>
      </c>
    </row>
    <row r="152" spans="1:11" x14ac:dyDescent="0.3">
      <c r="A152" t="s">
        <v>11</v>
      </c>
      <c r="B152">
        <v>2001</v>
      </c>
      <c r="C152">
        <v>2</v>
      </c>
      <c r="D152">
        <v>0</v>
      </c>
      <c r="E152">
        <v>0</v>
      </c>
      <c r="F152">
        <v>2170.27</v>
      </c>
    </row>
    <row r="153" spans="1:11" x14ac:dyDescent="0.3">
      <c r="A153" t="s">
        <v>11</v>
      </c>
      <c r="B153">
        <v>2001</v>
      </c>
      <c r="C153">
        <v>3</v>
      </c>
      <c r="D153">
        <v>0</v>
      </c>
      <c r="E153">
        <v>0</v>
      </c>
      <c r="F153">
        <v>2184.58</v>
      </c>
    </row>
    <row r="154" spans="1:11" x14ac:dyDescent="0.3">
      <c r="A154" t="s">
        <v>11</v>
      </c>
      <c r="B154">
        <v>5</v>
      </c>
      <c r="C154">
        <v>20</v>
      </c>
      <c r="D154">
        <v>7649321.5644531297</v>
      </c>
      <c r="E154">
        <v>219306.966796875</v>
      </c>
      <c r="F154">
        <v>2199.2399999999998</v>
      </c>
      <c r="G154" t="s">
        <v>6</v>
      </c>
      <c r="H154">
        <v>120</v>
      </c>
      <c r="I154">
        <f t="shared" ref="I154:J156" si="27">D154/(C154+D154)</f>
        <v>0.99999738539587602</v>
      </c>
      <c r="J154" s="6">
        <f t="shared" si="27"/>
        <v>2.7871053503911697E-2</v>
      </c>
      <c r="K154" s="2">
        <f>(J154*$N$3)/$N$2</f>
        <v>9.5740260127940943E-2</v>
      </c>
    </row>
    <row r="155" spans="1:11" x14ac:dyDescent="0.3">
      <c r="A155" t="s">
        <v>11</v>
      </c>
      <c r="B155">
        <v>5</v>
      </c>
      <c r="C155">
        <v>22</v>
      </c>
      <c r="D155">
        <v>7648254.91796875</v>
      </c>
      <c r="E155">
        <v>193665.09375</v>
      </c>
      <c r="F155">
        <v>2213.9699999999998</v>
      </c>
      <c r="G155" t="s">
        <v>6</v>
      </c>
      <c r="H155">
        <v>120</v>
      </c>
      <c r="I155">
        <f t="shared" si="27"/>
        <v>0.99999712353511305</v>
      </c>
      <c r="J155" s="6">
        <f t="shared" si="27"/>
        <v>2.4696132255951631E-2</v>
      </c>
      <c r="K155" s="2">
        <f>(J155*$N$3)/$N$2</f>
        <v>8.4834042100597196E-2</v>
      </c>
    </row>
    <row r="156" spans="1:11" x14ac:dyDescent="0.3">
      <c r="A156" t="s">
        <v>11</v>
      </c>
      <c r="B156">
        <v>5</v>
      </c>
      <c r="C156">
        <v>24</v>
      </c>
      <c r="D156">
        <v>7097088.0332031297</v>
      </c>
      <c r="E156">
        <v>233001</v>
      </c>
      <c r="F156">
        <v>2228.66</v>
      </c>
      <c r="G156" t="s">
        <v>6</v>
      </c>
      <c r="H156">
        <v>120</v>
      </c>
      <c r="I156">
        <f t="shared" si="27"/>
        <v>0.99999661834280085</v>
      </c>
      <c r="J156" s="6">
        <f t="shared" si="27"/>
        <v>3.1786926317616961E-2</v>
      </c>
      <c r="K156" s="2">
        <f>(J156*$N$3)/$N$2</f>
        <v>0.10919173162540176</v>
      </c>
    </row>
    <row r="157" spans="1:11" x14ac:dyDescent="0.3">
      <c r="A157" t="s">
        <v>11</v>
      </c>
      <c r="B157">
        <v>2001</v>
      </c>
      <c r="C157">
        <v>2</v>
      </c>
      <c r="D157">
        <v>0</v>
      </c>
      <c r="E157">
        <v>0</v>
      </c>
      <c r="F157">
        <v>2242.98</v>
      </c>
    </row>
    <row r="158" spans="1:11" x14ac:dyDescent="0.3">
      <c r="A158" t="s">
        <v>11</v>
      </c>
      <c r="B158">
        <v>2001</v>
      </c>
      <c r="C158">
        <v>3</v>
      </c>
      <c r="D158">
        <v>0</v>
      </c>
      <c r="E158">
        <v>0</v>
      </c>
      <c r="F158">
        <v>2257.1799999999998</v>
      </c>
    </row>
    <row r="159" spans="1:11" x14ac:dyDescent="0.3">
      <c r="A159" t="s">
        <v>11</v>
      </c>
      <c r="B159">
        <v>2001</v>
      </c>
      <c r="C159">
        <v>2</v>
      </c>
      <c r="D159">
        <v>0</v>
      </c>
      <c r="E159">
        <v>0</v>
      </c>
      <c r="F159">
        <v>2271.65</v>
      </c>
    </row>
    <row r="160" spans="1:11" x14ac:dyDescent="0.3">
      <c r="A160" t="s">
        <v>11</v>
      </c>
      <c r="B160">
        <v>2001</v>
      </c>
      <c r="C160">
        <v>3</v>
      </c>
      <c r="D160">
        <v>0</v>
      </c>
      <c r="E160">
        <v>0</v>
      </c>
      <c r="F160">
        <v>2285.81</v>
      </c>
    </row>
    <row r="161" spans="1:11" x14ac:dyDescent="0.3">
      <c r="A161" t="s">
        <v>11</v>
      </c>
      <c r="B161">
        <v>4</v>
      </c>
      <c r="C161">
        <v>14</v>
      </c>
      <c r="D161">
        <v>0</v>
      </c>
      <c r="E161">
        <v>0</v>
      </c>
      <c r="F161">
        <v>2300.56</v>
      </c>
      <c r="G161" t="s">
        <v>7</v>
      </c>
      <c r="H161">
        <v>300</v>
      </c>
      <c r="I161">
        <f t="shared" ref="I161:J163" si="28">D161/(C161+D161)</f>
        <v>0</v>
      </c>
      <c r="J161" s="6" t="e">
        <f t="shared" si="28"/>
        <v>#DIV/0!</v>
      </c>
      <c r="K161" s="2" t="e">
        <f>(J161*$N$3)/$N$2</f>
        <v>#DIV/0!</v>
      </c>
    </row>
    <row r="162" spans="1:11" x14ac:dyDescent="0.3">
      <c r="A162" t="s">
        <v>11</v>
      </c>
      <c r="B162">
        <v>4</v>
      </c>
      <c r="C162">
        <v>16</v>
      </c>
      <c r="D162">
        <v>0</v>
      </c>
      <c r="E162">
        <v>0</v>
      </c>
      <c r="F162">
        <v>2315.2800000000002</v>
      </c>
      <c r="G162" t="s">
        <v>7</v>
      </c>
      <c r="H162">
        <v>300</v>
      </c>
      <c r="I162">
        <f t="shared" si="28"/>
        <v>0</v>
      </c>
      <c r="J162" s="6" t="e">
        <f t="shared" si="28"/>
        <v>#DIV/0!</v>
      </c>
      <c r="K162" s="2" t="e">
        <f>(J162*$N$3)/$N$2</f>
        <v>#DIV/0!</v>
      </c>
    </row>
    <row r="163" spans="1:11" x14ac:dyDescent="0.3">
      <c r="A163" t="s">
        <v>11</v>
      </c>
      <c r="B163">
        <v>4</v>
      </c>
      <c r="C163">
        <v>18</v>
      </c>
      <c r="D163">
        <v>0</v>
      </c>
      <c r="E163">
        <v>0</v>
      </c>
      <c r="F163">
        <v>2329.98</v>
      </c>
      <c r="G163" t="s">
        <v>7</v>
      </c>
      <c r="H163">
        <v>300</v>
      </c>
      <c r="I163">
        <f t="shared" si="28"/>
        <v>0</v>
      </c>
      <c r="J163" s="6" t="e">
        <f t="shared" si="28"/>
        <v>#DIV/0!</v>
      </c>
      <c r="K163" s="2" t="e">
        <f>(J163*$N$3)/$N$2</f>
        <v>#DIV/0!</v>
      </c>
    </row>
    <row r="164" spans="1:11" x14ac:dyDescent="0.3">
      <c r="A164" t="s">
        <v>11</v>
      </c>
      <c r="B164">
        <v>2001</v>
      </c>
      <c r="C164">
        <v>2</v>
      </c>
      <c r="D164">
        <v>0</v>
      </c>
      <c r="E164">
        <v>0</v>
      </c>
      <c r="F164">
        <v>2344.3200000000002</v>
      </c>
    </row>
    <row r="165" spans="1:11" x14ac:dyDescent="0.3">
      <c r="A165" t="s">
        <v>11</v>
      </c>
      <c r="B165">
        <v>2001</v>
      </c>
      <c r="C165">
        <v>3</v>
      </c>
      <c r="D165">
        <v>0</v>
      </c>
      <c r="E165">
        <v>0</v>
      </c>
      <c r="F165">
        <v>2358.6</v>
      </c>
    </row>
    <row r="166" spans="1:11" x14ac:dyDescent="0.3">
      <c r="A166" t="s">
        <v>11</v>
      </c>
      <c r="B166">
        <v>4</v>
      </c>
      <c r="C166">
        <v>20</v>
      </c>
      <c r="D166">
        <v>0</v>
      </c>
      <c r="E166">
        <v>0</v>
      </c>
      <c r="F166">
        <v>2373.21</v>
      </c>
      <c r="G166" t="s">
        <v>6</v>
      </c>
      <c r="H166">
        <v>300</v>
      </c>
      <c r="I166">
        <f t="shared" ref="I166:J168" si="29">D166/(C166+D166)</f>
        <v>0</v>
      </c>
      <c r="J166" s="6" t="e">
        <f t="shared" si="29"/>
        <v>#DIV/0!</v>
      </c>
      <c r="K166" s="2" t="e">
        <f>(J166*$N$3)/$N$2</f>
        <v>#DIV/0!</v>
      </c>
    </row>
    <row r="167" spans="1:11" x14ac:dyDescent="0.3">
      <c r="A167" t="s">
        <v>11</v>
      </c>
      <c r="B167">
        <v>4</v>
      </c>
      <c r="C167">
        <v>22</v>
      </c>
      <c r="D167">
        <v>0</v>
      </c>
      <c r="E167">
        <v>0</v>
      </c>
      <c r="F167">
        <v>2387.94</v>
      </c>
      <c r="G167" t="s">
        <v>6</v>
      </c>
      <c r="H167">
        <v>300</v>
      </c>
      <c r="I167">
        <f t="shared" si="29"/>
        <v>0</v>
      </c>
      <c r="J167" s="6" t="e">
        <f t="shared" si="29"/>
        <v>#DIV/0!</v>
      </c>
      <c r="K167" s="2" t="e">
        <f>(J167*$N$3)/$N$2</f>
        <v>#DIV/0!</v>
      </c>
    </row>
    <row r="168" spans="1:11" x14ac:dyDescent="0.3">
      <c r="A168" t="s">
        <v>11</v>
      </c>
      <c r="B168">
        <v>4</v>
      </c>
      <c r="C168">
        <v>24</v>
      </c>
      <c r="D168">
        <v>0</v>
      </c>
      <c r="E168">
        <v>0</v>
      </c>
      <c r="F168">
        <v>2402.64</v>
      </c>
      <c r="G168" t="s">
        <v>6</v>
      </c>
      <c r="H168">
        <v>300</v>
      </c>
      <c r="I168">
        <f t="shared" si="29"/>
        <v>0</v>
      </c>
      <c r="J168" s="6" t="e">
        <f t="shared" si="29"/>
        <v>#DIV/0!</v>
      </c>
      <c r="K168" s="2" t="e">
        <f>(J168*$N$3)/$N$2</f>
        <v>#DIV/0!</v>
      </c>
    </row>
    <row r="169" spans="1:11" x14ac:dyDescent="0.3">
      <c r="A169" t="s">
        <v>11</v>
      </c>
      <c r="B169">
        <v>2001</v>
      </c>
      <c r="C169">
        <v>2</v>
      </c>
      <c r="D169">
        <v>0</v>
      </c>
      <c r="E169">
        <v>0</v>
      </c>
      <c r="F169">
        <v>2417.08</v>
      </c>
    </row>
    <row r="170" spans="1:11" x14ac:dyDescent="0.3">
      <c r="A170" t="s">
        <v>11</v>
      </c>
      <c r="B170">
        <v>2001</v>
      </c>
      <c r="C170">
        <v>3</v>
      </c>
      <c r="D170">
        <v>0</v>
      </c>
      <c r="E170">
        <v>0</v>
      </c>
      <c r="F170">
        <v>2431.25</v>
      </c>
    </row>
    <row r="171" spans="1:11" x14ac:dyDescent="0.3">
      <c r="A171" t="s">
        <v>11</v>
      </c>
      <c r="B171">
        <v>2001</v>
      </c>
      <c r="C171">
        <v>2</v>
      </c>
      <c r="D171">
        <v>0</v>
      </c>
      <c r="E171">
        <v>0</v>
      </c>
      <c r="F171">
        <v>2445.59</v>
      </c>
    </row>
    <row r="172" spans="1:11" x14ac:dyDescent="0.3">
      <c r="A172" t="s">
        <v>11</v>
      </c>
      <c r="B172">
        <v>2001</v>
      </c>
      <c r="C172">
        <v>3</v>
      </c>
      <c r="D172">
        <v>0</v>
      </c>
      <c r="E172">
        <v>0</v>
      </c>
      <c r="F172">
        <v>2459.89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1CEF-C7EA-4A77-93B0-78473AF3C832}">
  <dimension ref="A1:S174"/>
  <sheetViews>
    <sheetView topLeftCell="A61" workbookViewId="0">
      <selection activeCell="O19" sqref="O19"/>
    </sheetView>
  </sheetViews>
  <sheetFormatPr defaultRowHeight="14.4" x14ac:dyDescent="0.3"/>
  <cols>
    <col min="10" max="10" width="13.109375" style="6" bestFit="1" customWidth="1"/>
    <col min="14" max="15" width="9.33203125" bestFit="1" customWidth="1"/>
    <col min="18" max="19" width="9.33203125" bestFit="1" customWidth="1"/>
  </cols>
  <sheetData>
    <row r="1" spans="1:19" x14ac:dyDescent="0.3">
      <c r="A1" t="s">
        <v>21</v>
      </c>
    </row>
    <row r="2" spans="1:19" x14ac:dyDescent="0.3">
      <c r="A2" t="s">
        <v>0</v>
      </c>
      <c r="B2" t="s">
        <v>1</v>
      </c>
      <c r="C2" t="s">
        <v>2</v>
      </c>
      <c r="D2">
        <v>1442.74</v>
      </c>
      <c r="E2">
        <v>1474.74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2.64E-3</v>
      </c>
    </row>
    <row r="3" spans="1:19" x14ac:dyDescent="0.3">
      <c r="A3" t="s">
        <v>4</v>
      </c>
      <c r="B3">
        <v>2001</v>
      </c>
      <c r="C3">
        <v>2</v>
      </c>
      <c r="D3">
        <v>1329411.39453125</v>
      </c>
      <c r="E3">
        <v>0</v>
      </c>
      <c r="F3">
        <v>81.48</v>
      </c>
      <c r="M3" t="s">
        <v>15</v>
      </c>
      <c r="N3" s="2">
        <v>8.9999999999999993E-3</v>
      </c>
    </row>
    <row r="4" spans="1:19" x14ac:dyDescent="0.3">
      <c r="A4" t="s">
        <v>4</v>
      </c>
      <c r="B4">
        <v>2001</v>
      </c>
      <c r="C4">
        <v>3</v>
      </c>
      <c r="D4">
        <v>2824256.8457031301</v>
      </c>
      <c r="E4">
        <v>0</v>
      </c>
      <c r="F4">
        <v>95.66</v>
      </c>
    </row>
    <row r="5" spans="1:19" x14ac:dyDescent="0.3">
      <c r="A5" t="s">
        <v>4</v>
      </c>
      <c r="B5">
        <v>2001</v>
      </c>
      <c r="C5">
        <v>2</v>
      </c>
      <c r="D5">
        <v>3069785.55859375</v>
      </c>
      <c r="E5">
        <v>0</v>
      </c>
      <c r="F5">
        <v>110.15</v>
      </c>
    </row>
    <row r="6" spans="1:19" x14ac:dyDescent="0.3">
      <c r="A6" t="s">
        <v>4</v>
      </c>
      <c r="B6">
        <v>2001</v>
      </c>
      <c r="C6">
        <v>3</v>
      </c>
      <c r="D6">
        <v>1574940.1074218799</v>
      </c>
      <c r="E6">
        <v>0</v>
      </c>
      <c r="F6">
        <v>124.34</v>
      </c>
    </row>
    <row r="7" spans="1:19" ht="15.6" x14ac:dyDescent="0.3">
      <c r="A7" t="s">
        <v>4</v>
      </c>
      <c r="B7">
        <v>2001</v>
      </c>
      <c r="C7">
        <v>2</v>
      </c>
      <c r="D7">
        <v>0</v>
      </c>
      <c r="E7">
        <v>0</v>
      </c>
      <c r="F7">
        <v>138.75</v>
      </c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4</v>
      </c>
      <c r="B8">
        <v>2001</v>
      </c>
      <c r="C8">
        <v>3</v>
      </c>
      <c r="D8">
        <v>1612628.9199218799</v>
      </c>
      <c r="E8">
        <v>0</v>
      </c>
      <c r="F8">
        <v>152.93</v>
      </c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4</v>
      </c>
      <c r="B9">
        <v>16</v>
      </c>
      <c r="C9">
        <v>1</v>
      </c>
      <c r="D9">
        <v>6955150.55859375</v>
      </c>
      <c r="E9">
        <v>0</v>
      </c>
      <c r="F9">
        <v>167.79</v>
      </c>
      <c r="G9" t="s">
        <v>7</v>
      </c>
      <c r="H9">
        <v>0</v>
      </c>
      <c r="I9">
        <f>D9/(C9+D9)</f>
        <v>0.99999985622168097</v>
      </c>
      <c r="J9" s="6">
        <f>E9/(D9+E9)</f>
        <v>0</v>
      </c>
      <c r="K9" s="2">
        <f>(J9*$N$3)/$N$2</f>
        <v>0</v>
      </c>
      <c r="M9" s="3">
        <v>0</v>
      </c>
      <c r="N9" s="5">
        <f>AVERAGE(K9:K11)</f>
        <v>0</v>
      </c>
      <c r="O9" s="5" t="e">
        <f>STDEV(K14:K16)</f>
        <v>#DIV/0!</v>
      </c>
      <c r="Q9" s="3">
        <v>0</v>
      </c>
      <c r="R9" s="7" t="e">
        <f>AVERAGE(J14:J16)</f>
        <v>#DIV/0!</v>
      </c>
      <c r="S9" s="5" t="e">
        <f>STDEV(J14:J16)</f>
        <v>#DIV/0!</v>
      </c>
    </row>
    <row r="10" spans="1:19" ht="15.6" x14ac:dyDescent="0.3">
      <c r="A10" t="s">
        <v>4</v>
      </c>
      <c r="B10">
        <v>16</v>
      </c>
      <c r="C10">
        <v>3</v>
      </c>
      <c r="D10">
        <v>9272871.82568359</v>
      </c>
      <c r="E10">
        <v>0</v>
      </c>
      <c r="F10">
        <v>182.73</v>
      </c>
      <c r="G10" t="s">
        <v>7</v>
      </c>
      <c r="H10">
        <v>0</v>
      </c>
      <c r="I10">
        <f t="shared" ref="I10:J11" si="0">D10/(C10+D10)</f>
        <v>0.99999967647573629</v>
      </c>
      <c r="J10" s="6">
        <f t="shared" si="0"/>
        <v>0</v>
      </c>
      <c r="K10" s="2">
        <f>(J10*$N$3)/$N$2</f>
        <v>0</v>
      </c>
      <c r="M10" s="3">
        <v>0.5</v>
      </c>
      <c r="N10" s="5">
        <f>AVERAGE(K21:K23)</f>
        <v>2.317554993576493</v>
      </c>
      <c r="O10" s="5" t="e">
        <f>STDEV(K26:K28)</f>
        <v>#DIV/0!</v>
      </c>
      <c r="Q10" s="3">
        <v>0.5</v>
      </c>
      <c r="R10" s="7" t="e">
        <f>AVERAGE(J26:J28)</f>
        <v>#DIV/0!</v>
      </c>
      <c r="S10" s="5" t="e">
        <f>STDEV(J26:J28)</f>
        <v>#DIV/0!</v>
      </c>
    </row>
    <row r="11" spans="1:19" ht="15.6" x14ac:dyDescent="0.3">
      <c r="A11" t="s">
        <v>4</v>
      </c>
      <c r="B11">
        <v>16</v>
      </c>
      <c r="C11">
        <v>5</v>
      </c>
      <c r="D11">
        <v>3930350.1870117201</v>
      </c>
      <c r="E11">
        <v>0</v>
      </c>
      <c r="F11">
        <v>197.69</v>
      </c>
      <c r="G11" t="s">
        <v>7</v>
      </c>
      <c r="H11">
        <v>0</v>
      </c>
      <c r="I11">
        <f t="shared" si="0"/>
        <v>0.99999872785034383</v>
      </c>
      <c r="J11" s="6">
        <f t="shared" si="0"/>
        <v>0</v>
      </c>
      <c r="K11" s="2">
        <f>(J11*$N$3)/$N$2</f>
        <v>0</v>
      </c>
      <c r="M11" s="3">
        <v>1</v>
      </c>
      <c r="N11" s="5">
        <f>AVERAGE(K33:K35)</f>
        <v>3.2118687616208899</v>
      </c>
      <c r="O11" s="5" t="e">
        <f>STDEV(K38:K40)</f>
        <v>#DIV/0!</v>
      </c>
      <c r="Q11" s="3">
        <v>1</v>
      </c>
      <c r="R11" s="7" t="e">
        <f>AVERAGE(J38:J40)</f>
        <v>#DIV/0!</v>
      </c>
      <c r="S11" s="5" t="e">
        <f>STDEV(J38:J40)</f>
        <v>#DIV/0!</v>
      </c>
    </row>
    <row r="12" spans="1:19" ht="15.6" x14ac:dyDescent="0.3">
      <c r="A12" t="s">
        <v>4</v>
      </c>
      <c r="B12">
        <v>2001</v>
      </c>
      <c r="C12">
        <v>2</v>
      </c>
      <c r="D12">
        <v>0</v>
      </c>
      <c r="E12">
        <v>0</v>
      </c>
      <c r="F12">
        <v>212.02</v>
      </c>
      <c r="M12" s="3">
        <v>1.5</v>
      </c>
      <c r="N12" s="5">
        <f>AVERAGE(K45:K47)</f>
        <v>3.4090909090909087</v>
      </c>
      <c r="O12" s="5" t="e">
        <f>STDEV(K50:K52)</f>
        <v>#DIV/0!</v>
      </c>
      <c r="Q12" s="3">
        <v>1.5</v>
      </c>
      <c r="R12" s="7" t="e">
        <f>AVERAGE(J50:J52)</f>
        <v>#DIV/0!</v>
      </c>
      <c r="S12" s="5" t="e">
        <f>STDEV(J50:J52)</f>
        <v>#DIV/0!</v>
      </c>
    </row>
    <row r="13" spans="1:19" ht="15.6" x14ac:dyDescent="0.3">
      <c r="A13" t="s">
        <v>4</v>
      </c>
      <c r="B13">
        <v>2001</v>
      </c>
      <c r="C13">
        <v>3</v>
      </c>
      <c r="D13">
        <v>0</v>
      </c>
      <c r="E13">
        <v>0</v>
      </c>
      <c r="F13">
        <v>226.24</v>
      </c>
      <c r="M13" s="3">
        <v>3</v>
      </c>
      <c r="N13" s="5">
        <f>AVERAGE(K57:K59)</f>
        <v>3.3772238062093103</v>
      </c>
      <c r="O13" s="5" t="e">
        <f>STDEV(K62:K64)</f>
        <v>#DIV/0!</v>
      </c>
      <c r="Q13" s="3">
        <v>3</v>
      </c>
      <c r="R13" s="7" t="e">
        <f>AVERAGE(J62:J64)</f>
        <v>#DIV/0!</v>
      </c>
      <c r="S13" s="5" t="e">
        <f>STDEV(J62:J64)</f>
        <v>#DIV/0!</v>
      </c>
    </row>
    <row r="14" spans="1:19" ht="15.6" x14ac:dyDescent="0.3">
      <c r="A14" t="s">
        <v>4</v>
      </c>
      <c r="B14">
        <v>16</v>
      </c>
      <c r="C14">
        <v>7</v>
      </c>
      <c r="D14">
        <v>0</v>
      </c>
      <c r="E14">
        <v>0</v>
      </c>
      <c r="F14">
        <v>241.07</v>
      </c>
      <c r="G14" t="s">
        <v>6</v>
      </c>
      <c r="H14">
        <v>0</v>
      </c>
      <c r="I14">
        <f t="shared" ref="I14:I16" si="1">(D14/C14+D14)</f>
        <v>0</v>
      </c>
      <c r="J14" s="6" t="e">
        <f>E14/(D14+E14)</f>
        <v>#DIV/0!</v>
      </c>
      <c r="K14" s="2" t="e">
        <f>(J14*$N$3)/$N$2</f>
        <v>#DIV/0!</v>
      </c>
      <c r="M14" s="3">
        <v>5</v>
      </c>
      <c r="N14" s="5" t="e">
        <f>AVERAGE(K74:K76)</f>
        <v>#DIV/0!</v>
      </c>
      <c r="O14" s="5" t="e">
        <f>STDEV(K74:K76)</f>
        <v>#DIV/0!</v>
      </c>
      <c r="Q14" s="3">
        <v>5</v>
      </c>
      <c r="R14" s="7" t="e">
        <f>AVERAGE(J74:J76)</f>
        <v>#DIV/0!</v>
      </c>
      <c r="S14" s="5" t="e">
        <f>STDEV(J74:J76)</f>
        <v>#DIV/0!</v>
      </c>
    </row>
    <row r="15" spans="1:19" ht="15.6" x14ac:dyDescent="0.3">
      <c r="A15" t="s">
        <v>4</v>
      </c>
      <c r="B15">
        <v>16</v>
      </c>
      <c r="C15">
        <v>9</v>
      </c>
      <c r="D15">
        <v>806156.958984375</v>
      </c>
      <c r="E15">
        <v>0</v>
      </c>
      <c r="F15">
        <v>256.04000000000002</v>
      </c>
      <c r="G15" t="s">
        <v>6</v>
      </c>
      <c r="H15">
        <v>0</v>
      </c>
      <c r="I15">
        <f t="shared" si="1"/>
        <v>895729.95442708337</v>
      </c>
      <c r="J15" s="6">
        <f>E15/(D15+E15)</f>
        <v>0</v>
      </c>
      <c r="K15" s="2">
        <f>(J15*$N$3)/$N$2</f>
        <v>0</v>
      </c>
      <c r="M15" s="3">
        <v>10</v>
      </c>
      <c r="N15" s="5" t="e">
        <f>AVERAGE(K86:K88)</f>
        <v>#DIV/0!</v>
      </c>
      <c r="O15" s="5" t="e">
        <f>STDEV(K86:K88)</f>
        <v>#DIV/0!</v>
      </c>
      <c r="Q15" s="3">
        <v>10</v>
      </c>
      <c r="R15" s="7" t="e">
        <f>AVERAGE(J86:J88)</f>
        <v>#DIV/0!</v>
      </c>
      <c r="S15" s="5" t="e">
        <f>STDEV(J86:J88)</f>
        <v>#DIV/0!</v>
      </c>
    </row>
    <row r="16" spans="1:19" ht="15.6" x14ac:dyDescent="0.3">
      <c r="A16" t="s">
        <v>4</v>
      </c>
      <c r="B16">
        <v>16</v>
      </c>
      <c r="C16">
        <v>11</v>
      </c>
      <c r="D16">
        <v>1745486.6113281299</v>
      </c>
      <c r="E16">
        <v>0</v>
      </c>
      <c r="F16">
        <v>270.97000000000003</v>
      </c>
      <c r="G16" t="s">
        <v>6</v>
      </c>
      <c r="H16">
        <v>0</v>
      </c>
      <c r="I16">
        <f t="shared" si="1"/>
        <v>1904167.2123579599</v>
      </c>
      <c r="J16" s="6">
        <f>E16/(D16+E16)</f>
        <v>0</v>
      </c>
      <c r="K16" s="2">
        <f>(J16*$N$3)/$N$2</f>
        <v>0</v>
      </c>
      <c r="M16" s="3">
        <v>20</v>
      </c>
      <c r="N16" s="5" t="e">
        <f>AVERAGE(K98:K100)</f>
        <v>#DIV/0!</v>
      </c>
      <c r="O16" s="5" t="e">
        <f>STDEV(K98:K100)</f>
        <v>#DIV/0!</v>
      </c>
      <c r="Q16" s="3">
        <v>20</v>
      </c>
      <c r="R16" s="7" t="e">
        <f>AVERAGE(J98:J100)</f>
        <v>#DIV/0!</v>
      </c>
      <c r="S16" s="5" t="e">
        <f>STDEV(J98:J100)</f>
        <v>#DIV/0!</v>
      </c>
    </row>
    <row r="17" spans="1:19" ht="15.6" x14ac:dyDescent="0.3">
      <c r="A17" t="s">
        <v>4</v>
      </c>
      <c r="B17">
        <v>2001</v>
      </c>
      <c r="C17">
        <v>2</v>
      </c>
      <c r="D17">
        <v>3579795.9619140602</v>
      </c>
      <c r="E17">
        <v>0</v>
      </c>
      <c r="F17">
        <v>285.42</v>
      </c>
      <c r="M17" s="3">
        <v>40</v>
      </c>
      <c r="N17" s="5" t="e">
        <f>AVERAGE(K114:K116)</f>
        <v>#DIV/0!</v>
      </c>
      <c r="O17" s="5" t="e">
        <f>STDEV(K114:K116)</f>
        <v>#DIV/0!</v>
      </c>
      <c r="Q17" s="3">
        <v>40</v>
      </c>
      <c r="R17" s="7" t="e">
        <f>AVERAGE(J114:J116)</f>
        <v>#DIV/0!</v>
      </c>
      <c r="S17" s="5" t="e">
        <f>STDEV(J114:J116)</f>
        <v>#DIV/0!</v>
      </c>
    </row>
    <row r="18" spans="1:19" ht="15.6" x14ac:dyDescent="0.3">
      <c r="A18" t="s">
        <v>4</v>
      </c>
      <c r="B18">
        <v>2001</v>
      </c>
      <c r="C18">
        <v>3</v>
      </c>
      <c r="D18">
        <v>2640466.3095703102</v>
      </c>
      <c r="E18">
        <v>0</v>
      </c>
      <c r="F18">
        <v>299.64</v>
      </c>
      <c r="M18" s="3">
        <v>60</v>
      </c>
      <c r="N18" s="5" t="e">
        <f>AVERAGE(K128:K130)</f>
        <v>#DIV/0!</v>
      </c>
      <c r="O18" s="5" t="e">
        <f>STDEV(K128:K130)</f>
        <v>#DIV/0!</v>
      </c>
      <c r="Q18" s="3">
        <v>60</v>
      </c>
      <c r="R18" s="7" t="e">
        <f>AVERAGE(J128:J130)</f>
        <v>#DIV/0!</v>
      </c>
      <c r="S18" s="5" t="e">
        <f>STDEV(J128:J130)</f>
        <v>#DIV/0!</v>
      </c>
    </row>
    <row r="19" spans="1:19" ht="15.6" x14ac:dyDescent="0.3">
      <c r="A19" t="s">
        <v>4</v>
      </c>
      <c r="B19">
        <v>2001</v>
      </c>
      <c r="C19">
        <v>2</v>
      </c>
      <c r="D19">
        <v>0</v>
      </c>
      <c r="E19">
        <v>0</v>
      </c>
      <c r="F19">
        <v>313.99</v>
      </c>
      <c r="M19" s="3">
        <v>90</v>
      </c>
      <c r="N19" s="5">
        <f>AVERAGE(K137:K139)</f>
        <v>3.3445633469408271</v>
      </c>
      <c r="O19" s="5" t="e">
        <f>STDEV(K137:K139)</f>
        <v>#DIV/0!</v>
      </c>
      <c r="Q19" s="3">
        <v>90</v>
      </c>
      <c r="R19" s="7" t="e">
        <f>AVERAGE(J142:J144)</f>
        <v>#DIV/0!</v>
      </c>
      <c r="S19" s="5" t="e">
        <f>STDEV(J142:J144)</f>
        <v>#DIV/0!</v>
      </c>
    </row>
    <row r="20" spans="1:19" ht="15.6" x14ac:dyDescent="0.3">
      <c r="A20" t="s">
        <v>4</v>
      </c>
      <c r="B20">
        <v>2001</v>
      </c>
      <c r="C20">
        <v>3</v>
      </c>
      <c r="D20">
        <v>1365417.1933593799</v>
      </c>
      <c r="E20">
        <v>2240816.6699218801</v>
      </c>
      <c r="F20">
        <v>328.16</v>
      </c>
      <c r="M20" s="3">
        <v>120</v>
      </c>
      <c r="N20" s="2">
        <f>AVERAGE(K151:K153)</f>
        <v>3.4090909090909087</v>
      </c>
      <c r="O20" s="5">
        <f>STDEV(K151:K153)</f>
        <v>0</v>
      </c>
      <c r="Q20" s="3">
        <v>120</v>
      </c>
      <c r="R20" s="6" t="e">
        <f>AVERAGE(J156:J158)</f>
        <v>#DIV/0!</v>
      </c>
      <c r="S20" s="5" t="e">
        <f>STDEV(J156:J158)</f>
        <v>#DIV/0!</v>
      </c>
    </row>
    <row r="21" spans="1:19" x14ac:dyDescent="0.3">
      <c r="A21" t="s">
        <v>4</v>
      </c>
      <c r="B21">
        <v>15</v>
      </c>
      <c r="C21">
        <v>1</v>
      </c>
      <c r="D21">
        <v>1834034.0097656299</v>
      </c>
      <c r="E21">
        <v>3706457.73193359</v>
      </c>
      <c r="F21">
        <v>343.12</v>
      </c>
      <c r="G21" t="s">
        <v>7</v>
      </c>
      <c r="H21">
        <v>0.5</v>
      </c>
      <c r="I21">
        <f t="shared" ref="I21:J23" si="2">D21/(C21+D21)</f>
        <v>0.99999945475413787</v>
      </c>
      <c r="J21" s="6">
        <f t="shared" si="2"/>
        <v>0.66897631198288765</v>
      </c>
      <c r="K21" s="2">
        <f>(J21*$N$3)/$N$2</f>
        <v>2.2806010635780258</v>
      </c>
    </row>
    <row r="22" spans="1:19" x14ac:dyDescent="0.3">
      <c r="A22" t="s">
        <v>4</v>
      </c>
      <c r="B22">
        <v>15</v>
      </c>
      <c r="C22">
        <v>3</v>
      </c>
      <c r="D22">
        <v>732400.224609375</v>
      </c>
      <c r="E22">
        <v>1943240.79833984</v>
      </c>
      <c r="F22">
        <v>358.09</v>
      </c>
      <c r="G22" t="s">
        <v>7</v>
      </c>
      <c r="H22">
        <v>0.5</v>
      </c>
      <c r="I22">
        <f t="shared" si="2"/>
        <v>0.99999590389569681</v>
      </c>
      <c r="J22" s="6">
        <f t="shared" si="2"/>
        <v>0.7262711184618893</v>
      </c>
      <c r="K22" s="2">
        <f>(J22*$N$3)/$N$2</f>
        <v>2.4759242674837134</v>
      </c>
    </row>
    <row r="23" spans="1:19" x14ac:dyDescent="0.3">
      <c r="A23" t="s">
        <v>4</v>
      </c>
      <c r="B23">
        <v>15</v>
      </c>
      <c r="C23">
        <v>5</v>
      </c>
      <c r="D23">
        <v>263783.408203125</v>
      </c>
      <c r="E23">
        <v>477599.736328125</v>
      </c>
      <c r="F23">
        <v>372.93</v>
      </c>
      <c r="G23" t="s">
        <v>7</v>
      </c>
      <c r="H23">
        <v>0.5</v>
      </c>
      <c r="I23">
        <f t="shared" si="2"/>
        <v>0.99998104541426192</v>
      </c>
      <c r="J23" s="6">
        <f t="shared" si="2"/>
        <v>0.64420096390253678</v>
      </c>
      <c r="K23" s="2">
        <f>(J23*$N$3)/$N$2</f>
        <v>2.1961396496677388</v>
      </c>
    </row>
    <row r="24" spans="1:19" x14ac:dyDescent="0.3">
      <c r="A24" t="s">
        <v>4</v>
      </c>
      <c r="B24">
        <v>2001</v>
      </c>
      <c r="C24">
        <v>2</v>
      </c>
      <c r="D24">
        <v>0</v>
      </c>
      <c r="E24">
        <v>0</v>
      </c>
      <c r="F24">
        <v>387.39</v>
      </c>
    </row>
    <row r="25" spans="1:19" x14ac:dyDescent="0.3">
      <c r="A25" t="s">
        <v>4</v>
      </c>
      <c r="B25">
        <v>2001</v>
      </c>
      <c r="C25">
        <v>3</v>
      </c>
      <c r="D25">
        <v>0</v>
      </c>
      <c r="E25">
        <v>0</v>
      </c>
      <c r="F25">
        <v>401.57</v>
      </c>
    </row>
    <row r="26" spans="1:19" x14ac:dyDescent="0.3">
      <c r="A26" t="s">
        <v>4</v>
      </c>
      <c r="B26">
        <v>15</v>
      </c>
      <c r="C26">
        <v>7</v>
      </c>
      <c r="D26">
        <v>0</v>
      </c>
      <c r="E26">
        <v>0</v>
      </c>
      <c r="F26">
        <v>416.49</v>
      </c>
      <c r="G26" t="s">
        <v>6</v>
      </c>
      <c r="H26">
        <v>0.5</v>
      </c>
      <c r="I26">
        <f t="shared" ref="I26:I28" si="3">(D26/C26+D26)</f>
        <v>0</v>
      </c>
      <c r="J26" s="6" t="e">
        <f>E26/(D26+E26)</f>
        <v>#DIV/0!</v>
      </c>
      <c r="K26" s="2" t="e">
        <f>(J26*$N$3)/$N$2</f>
        <v>#DIV/0!</v>
      </c>
    </row>
    <row r="27" spans="1:19" x14ac:dyDescent="0.3">
      <c r="A27" t="s">
        <v>4</v>
      </c>
      <c r="B27">
        <v>15</v>
      </c>
      <c r="C27">
        <v>9</v>
      </c>
      <c r="D27">
        <v>1016928.87109375</v>
      </c>
      <c r="E27">
        <v>0</v>
      </c>
      <c r="F27">
        <v>431.43</v>
      </c>
      <c r="G27" t="s">
        <v>6</v>
      </c>
      <c r="H27">
        <v>0.5</v>
      </c>
      <c r="I27">
        <f t="shared" si="3"/>
        <v>1129920.9678819445</v>
      </c>
      <c r="J27" s="6">
        <f>E27/(D27+E27)</f>
        <v>0</v>
      </c>
      <c r="K27" s="2">
        <f>(J27*$N$3)/$N$2</f>
        <v>0</v>
      </c>
    </row>
    <row r="28" spans="1:19" x14ac:dyDescent="0.3">
      <c r="A28" t="s">
        <v>4</v>
      </c>
      <c r="B28">
        <v>15</v>
      </c>
      <c r="C28">
        <v>11</v>
      </c>
      <c r="D28">
        <v>4109936.9848632799</v>
      </c>
      <c r="E28">
        <v>0</v>
      </c>
      <c r="F28">
        <v>446.28</v>
      </c>
      <c r="G28" t="s">
        <v>6</v>
      </c>
      <c r="H28">
        <v>0.5</v>
      </c>
      <c r="I28">
        <f t="shared" si="3"/>
        <v>4483567.6198508507</v>
      </c>
      <c r="J28" s="6">
        <f>E28/(D28+E28)</f>
        <v>0</v>
      </c>
      <c r="K28" s="2">
        <f>(J28*$N$3)/$N$2</f>
        <v>0</v>
      </c>
    </row>
    <row r="29" spans="1:19" x14ac:dyDescent="0.3">
      <c r="A29" t="s">
        <v>4</v>
      </c>
      <c r="B29">
        <v>2001</v>
      </c>
      <c r="C29">
        <v>2</v>
      </c>
      <c r="D29">
        <v>5110357.6962890597</v>
      </c>
      <c r="E29">
        <v>0</v>
      </c>
      <c r="F29">
        <v>460.74</v>
      </c>
    </row>
    <row r="30" spans="1:19" x14ac:dyDescent="0.3">
      <c r="A30" t="s">
        <v>4</v>
      </c>
      <c r="B30">
        <v>2001</v>
      </c>
      <c r="C30">
        <v>3</v>
      </c>
      <c r="D30">
        <v>2017349.5825195301</v>
      </c>
      <c r="E30">
        <v>0</v>
      </c>
      <c r="F30">
        <v>474.89</v>
      </c>
    </row>
    <row r="31" spans="1:19" x14ac:dyDescent="0.3">
      <c r="A31" t="s">
        <v>4</v>
      </c>
      <c r="B31">
        <v>2001</v>
      </c>
      <c r="C31">
        <v>2</v>
      </c>
      <c r="D31">
        <v>0</v>
      </c>
      <c r="E31">
        <v>0</v>
      </c>
      <c r="F31">
        <v>489.36</v>
      </c>
    </row>
    <row r="32" spans="1:19" x14ac:dyDescent="0.3">
      <c r="A32" t="s">
        <v>4</v>
      </c>
      <c r="B32">
        <v>2001</v>
      </c>
      <c r="C32">
        <v>3</v>
      </c>
      <c r="D32">
        <v>20812.459472656301</v>
      </c>
      <c r="E32">
        <v>1013579.66992188</v>
      </c>
      <c r="F32">
        <v>503.52</v>
      </c>
    </row>
    <row r="33" spans="1:11" x14ac:dyDescent="0.3">
      <c r="A33" t="s">
        <v>4</v>
      </c>
      <c r="B33">
        <v>14</v>
      </c>
      <c r="C33">
        <v>1</v>
      </c>
      <c r="D33">
        <v>223194.74462890599</v>
      </c>
      <c r="E33">
        <v>3251694.09765625</v>
      </c>
      <c r="F33">
        <v>518.41999999999996</v>
      </c>
      <c r="G33" t="s">
        <v>7</v>
      </c>
      <c r="H33">
        <v>1</v>
      </c>
      <c r="I33">
        <f t="shared" ref="I33:J35" si="4">D33/(C33+D33)</f>
        <v>0.99999551962784206</v>
      </c>
      <c r="J33" s="6">
        <f t="shared" si="4"/>
        <v>0.9357692419069934</v>
      </c>
      <c r="K33" s="2">
        <f>(J33*$N$3)/$N$2</f>
        <v>3.1901224155920227</v>
      </c>
    </row>
    <row r="34" spans="1:11" x14ac:dyDescent="0.3">
      <c r="A34" t="s">
        <v>4</v>
      </c>
      <c r="B34">
        <v>14</v>
      </c>
      <c r="C34">
        <v>3</v>
      </c>
      <c r="D34">
        <v>221164.31005859401</v>
      </c>
      <c r="E34">
        <v>2755553.00146484</v>
      </c>
      <c r="F34">
        <v>533.41</v>
      </c>
      <c r="G34" t="s">
        <v>7</v>
      </c>
      <c r="H34">
        <v>1</v>
      </c>
      <c r="I34">
        <f t="shared" si="4"/>
        <v>0.99998643560841249</v>
      </c>
      <c r="J34" s="6">
        <f t="shared" si="4"/>
        <v>0.92570194381494497</v>
      </c>
      <c r="K34" s="2">
        <f>(J34*$N$3)/$N$2</f>
        <v>3.155802081187312</v>
      </c>
    </row>
    <row r="35" spans="1:11" x14ac:dyDescent="0.3">
      <c r="A35" t="s">
        <v>4</v>
      </c>
      <c r="B35">
        <v>14</v>
      </c>
      <c r="C35">
        <v>5</v>
      </c>
      <c r="D35">
        <v>18782.024902343801</v>
      </c>
      <c r="E35">
        <v>517438.57373046898</v>
      </c>
      <c r="F35">
        <v>548.25</v>
      </c>
      <c r="G35" t="s">
        <v>7</v>
      </c>
      <c r="H35">
        <v>1</v>
      </c>
      <c r="I35">
        <f t="shared" si="4"/>
        <v>0.99973385887196131</v>
      </c>
      <c r="J35" s="6">
        <f t="shared" si="4"/>
        <v>0.96497332450444506</v>
      </c>
      <c r="K35" s="2">
        <f>(J35*$N$3)/$N$2</f>
        <v>3.2896817880833353</v>
      </c>
    </row>
    <row r="36" spans="1:11" x14ac:dyDescent="0.3">
      <c r="A36" t="s">
        <v>4</v>
      </c>
      <c r="B36">
        <v>2001</v>
      </c>
      <c r="C36">
        <v>2</v>
      </c>
      <c r="D36">
        <v>0</v>
      </c>
      <c r="E36">
        <v>0</v>
      </c>
      <c r="F36">
        <v>562.72</v>
      </c>
    </row>
    <row r="37" spans="1:11" x14ac:dyDescent="0.3">
      <c r="A37" t="s">
        <v>4</v>
      </c>
      <c r="B37">
        <v>2001</v>
      </c>
      <c r="C37">
        <v>3</v>
      </c>
      <c r="D37">
        <v>0</v>
      </c>
      <c r="E37">
        <v>0</v>
      </c>
      <c r="F37">
        <v>576.98</v>
      </c>
    </row>
    <row r="38" spans="1:11" x14ac:dyDescent="0.3">
      <c r="A38" t="s">
        <v>4</v>
      </c>
      <c r="B38">
        <v>14</v>
      </c>
      <c r="C38">
        <v>7</v>
      </c>
      <c r="D38">
        <v>0</v>
      </c>
      <c r="E38">
        <v>0</v>
      </c>
      <c r="F38">
        <v>591.83000000000004</v>
      </c>
      <c r="G38" t="s">
        <v>6</v>
      </c>
      <c r="H38">
        <v>1</v>
      </c>
      <c r="I38">
        <f t="shared" ref="I38:I40" si="5">(D38/C38+D38)</f>
        <v>0</v>
      </c>
      <c r="J38" s="6" t="e">
        <f>E38/(D38+E38)</f>
        <v>#DIV/0!</v>
      </c>
      <c r="K38" s="2" t="e">
        <f>(J38*$N$3)/$N$2</f>
        <v>#DIV/0!</v>
      </c>
    </row>
    <row r="39" spans="1:11" x14ac:dyDescent="0.3">
      <c r="A39" t="s">
        <v>4</v>
      </c>
      <c r="B39">
        <v>14</v>
      </c>
      <c r="C39">
        <v>9</v>
      </c>
      <c r="D39">
        <v>2148172.75927734</v>
      </c>
      <c r="E39">
        <v>0</v>
      </c>
      <c r="F39">
        <v>606.72</v>
      </c>
      <c r="G39" t="s">
        <v>6</v>
      </c>
      <c r="H39">
        <v>1</v>
      </c>
      <c r="I39">
        <f t="shared" si="5"/>
        <v>2386858.6214192668</v>
      </c>
      <c r="J39" s="6">
        <f>E39/(D39+E39)</f>
        <v>0</v>
      </c>
      <c r="K39" s="2">
        <f>(J39*$N$3)/$N$2</f>
        <v>0</v>
      </c>
    </row>
    <row r="40" spans="1:11" x14ac:dyDescent="0.3">
      <c r="A40" t="s">
        <v>4</v>
      </c>
      <c r="B40">
        <v>14</v>
      </c>
      <c r="C40">
        <v>11</v>
      </c>
      <c r="D40">
        <v>3604306.37646484</v>
      </c>
      <c r="E40">
        <v>0</v>
      </c>
      <c r="F40">
        <v>621.70000000000005</v>
      </c>
      <c r="G40" t="s">
        <v>6</v>
      </c>
      <c r="H40">
        <v>1</v>
      </c>
      <c r="I40">
        <f t="shared" si="5"/>
        <v>3931970.5925070983</v>
      </c>
      <c r="J40" s="6">
        <f>E40/(D40+E40)</f>
        <v>0</v>
      </c>
      <c r="K40" s="2">
        <f>(J40*$N$3)/$N$2</f>
        <v>0</v>
      </c>
    </row>
    <row r="41" spans="1:11" x14ac:dyDescent="0.3">
      <c r="A41" t="s">
        <v>4</v>
      </c>
      <c r="B41">
        <v>2001</v>
      </c>
      <c r="C41">
        <v>2</v>
      </c>
      <c r="D41">
        <v>3020793.8525390602</v>
      </c>
      <c r="E41">
        <v>0</v>
      </c>
      <c r="F41">
        <v>636.1</v>
      </c>
    </row>
    <row r="42" spans="1:11" x14ac:dyDescent="0.3">
      <c r="A42" t="s">
        <v>4</v>
      </c>
      <c r="B42">
        <v>2001</v>
      </c>
      <c r="C42">
        <v>3</v>
      </c>
      <c r="D42">
        <v>1564660.2353515599</v>
      </c>
      <c r="E42">
        <v>0</v>
      </c>
      <c r="F42">
        <v>650.26</v>
      </c>
    </row>
    <row r="43" spans="1:11" x14ac:dyDescent="0.3">
      <c r="A43" t="s">
        <v>4</v>
      </c>
      <c r="B43">
        <v>2001</v>
      </c>
      <c r="C43">
        <v>2</v>
      </c>
      <c r="D43">
        <v>0</v>
      </c>
      <c r="E43">
        <v>0</v>
      </c>
      <c r="F43">
        <v>664.58</v>
      </c>
    </row>
    <row r="44" spans="1:11" x14ac:dyDescent="0.3">
      <c r="A44" t="s">
        <v>4</v>
      </c>
      <c r="B44">
        <v>2001</v>
      </c>
      <c r="C44">
        <v>3</v>
      </c>
      <c r="D44">
        <v>0</v>
      </c>
      <c r="E44">
        <v>568040.64550781297</v>
      </c>
      <c r="F44">
        <v>678.88</v>
      </c>
    </row>
    <row r="45" spans="1:11" x14ac:dyDescent="0.3">
      <c r="A45" t="s">
        <v>4</v>
      </c>
      <c r="B45">
        <v>13</v>
      </c>
      <c r="C45">
        <v>1</v>
      </c>
      <c r="D45">
        <v>0</v>
      </c>
      <c r="E45">
        <v>1173659.9814453099</v>
      </c>
      <c r="F45">
        <v>693.74</v>
      </c>
      <c r="G45" t="s">
        <v>7</v>
      </c>
      <c r="H45">
        <v>1.5</v>
      </c>
      <c r="I45">
        <f t="shared" ref="I45:J47" si="6">D45/(C45+D45)</f>
        <v>0</v>
      </c>
      <c r="J45" s="6">
        <f t="shared" si="6"/>
        <v>1</v>
      </c>
      <c r="K45" s="2">
        <f>(J45*$N$3)/$N$2</f>
        <v>3.4090909090909087</v>
      </c>
    </row>
    <row r="46" spans="1:11" x14ac:dyDescent="0.3">
      <c r="A46" t="s">
        <v>4</v>
      </c>
      <c r="B46">
        <v>13</v>
      </c>
      <c r="C46">
        <v>3</v>
      </c>
      <c r="D46">
        <v>0</v>
      </c>
      <c r="E46">
        <v>1283361.234375</v>
      </c>
      <c r="F46">
        <v>708.68</v>
      </c>
      <c r="G46" t="s">
        <v>7</v>
      </c>
      <c r="H46">
        <v>1.5</v>
      </c>
      <c r="I46">
        <f t="shared" si="6"/>
        <v>0</v>
      </c>
      <c r="J46" s="6">
        <f t="shared" si="6"/>
        <v>1</v>
      </c>
      <c r="K46" s="2">
        <f>(J46*$N$3)/$N$2</f>
        <v>3.4090909090909087</v>
      </c>
    </row>
    <row r="47" spans="1:11" x14ac:dyDescent="0.3">
      <c r="A47" t="s">
        <v>4</v>
      </c>
      <c r="B47">
        <v>13</v>
      </c>
      <c r="C47">
        <v>5</v>
      </c>
      <c r="D47">
        <v>0</v>
      </c>
      <c r="E47">
        <v>677741.8984375</v>
      </c>
      <c r="F47">
        <v>723.53</v>
      </c>
      <c r="G47" t="s">
        <v>7</v>
      </c>
      <c r="H47">
        <v>1.5</v>
      </c>
      <c r="I47">
        <f t="shared" si="6"/>
        <v>0</v>
      </c>
      <c r="J47" s="6">
        <f t="shared" si="6"/>
        <v>1</v>
      </c>
      <c r="K47" s="2">
        <f>(J47*$N$3)/$N$2</f>
        <v>3.4090909090909087</v>
      </c>
    </row>
    <row r="48" spans="1:11" x14ac:dyDescent="0.3">
      <c r="A48" t="s">
        <v>4</v>
      </c>
      <c r="B48">
        <v>2001</v>
      </c>
      <c r="C48">
        <v>2</v>
      </c>
      <c r="D48">
        <v>0</v>
      </c>
      <c r="E48">
        <v>0</v>
      </c>
      <c r="F48">
        <v>737.91</v>
      </c>
    </row>
    <row r="49" spans="1:11" x14ac:dyDescent="0.3">
      <c r="A49" t="s">
        <v>4</v>
      </c>
      <c r="B49">
        <v>2001</v>
      </c>
      <c r="C49">
        <v>3</v>
      </c>
      <c r="D49">
        <v>0</v>
      </c>
      <c r="E49">
        <v>0</v>
      </c>
      <c r="F49">
        <v>752.1</v>
      </c>
    </row>
    <row r="50" spans="1:11" x14ac:dyDescent="0.3">
      <c r="A50" t="s">
        <v>4</v>
      </c>
      <c r="B50">
        <v>13</v>
      </c>
      <c r="C50">
        <v>7</v>
      </c>
      <c r="D50">
        <v>0</v>
      </c>
      <c r="E50">
        <v>0</v>
      </c>
      <c r="F50">
        <v>767.08</v>
      </c>
      <c r="G50" t="s">
        <v>6</v>
      </c>
      <c r="H50">
        <v>1.5</v>
      </c>
      <c r="I50">
        <f t="shared" ref="I50:I52" si="7">(D50/C50+D50)</f>
        <v>0</v>
      </c>
      <c r="J50" s="6" t="e">
        <f>E50/(D50+E50)</f>
        <v>#DIV/0!</v>
      </c>
      <c r="K50" s="2" t="e">
        <f>(J50*$N$3)/$N$2</f>
        <v>#DIV/0!</v>
      </c>
    </row>
    <row r="51" spans="1:11" x14ac:dyDescent="0.3">
      <c r="A51" t="s">
        <v>4</v>
      </c>
      <c r="B51">
        <v>13</v>
      </c>
      <c r="C51">
        <v>9</v>
      </c>
      <c r="D51">
        <v>1329580.8603515599</v>
      </c>
      <c r="E51">
        <v>0</v>
      </c>
      <c r="F51">
        <v>781.95</v>
      </c>
      <c r="G51" t="s">
        <v>6</v>
      </c>
      <c r="H51">
        <v>1.5</v>
      </c>
      <c r="I51">
        <f t="shared" si="7"/>
        <v>1477312.0670572887</v>
      </c>
      <c r="J51" s="6">
        <f>E51/(D51+E51)</f>
        <v>0</v>
      </c>
      <c r="K51" s="2">
        <f>(J51*$N$3)/$N$2</f>
        <v>0</v>
      </c>
    </row>
    <row r="52" spans="1:11" x14ac:dyDescent="0.3">
      <c r="A52" t="s">
        <v>4</v>
      </c>
      <c r="B52">
        <v>13</v>
      </c>
      <c r="C52">
        <v>11</v>
      </c>
      <c r="D52">
        <v>5770405.0776367197</v>
      </c>
      <c r="E52">
        <v>0</v>
      </c>
      <c r="F52">
        <v>796.8</v>
      </c>
      <c r="G52" t="s">
        <v>6</v>
      </c>
      <c r="H52">
        <v>1.5</v>
      </c>
      <c r="I52">
        <f t="shared" si="7"/>
        <v>6294987.3574218759</v>
      </c>
      <c r="J52" s="6">
        <f>E52/(D52+E52)</f>
        <v>0</v>
      </c>
      <c r="K52" s="2">
        <f>(J52*$N$3)/$N$2</f>
        <v>0</v>
      </c>
    </row>
    <row r="53" spans="1:11" x14ac:dyDescent="0.3">
      <c r="A53" t="s">
        <v>4</v>
      </c>
      <c r="B53">
        <v>2001</v>
      </c>
      <c r="C53">
        <v>2</v>
      </c>
      <c r="D53">
        <v>9910183.7075195294</v>
      </c>
      <c r="E53">
        <v>0</v>
      </c>
      <c r="F53">
        <v>811.2</v>
      </c>
    </row>
    <row r="54" spans="1:11" x14ac:dyDescent="0.3">
      <c r="A54" t="s">
        <v>4</v>
      </c>
      <c r="B54">
        <v>2001</v>
      </c>
      <c r="C54">
        <v>3</v>
      </c>
      <c r="D54">
        <v>5469359.4902343797</v>
      </c>
      <c r="E54">
        <v>0</v>
      </c>
      <c r="F54">
        <v>825.49</v>
      </c>
    </row>
    <row r="55" spans="1:11" x14ac:dyDescent="0.3">
      <c r="A55" t="s">
        <v>4</v>
      </c>
      <c r="B55">
        <v>2001</v>
      </c>
      <c r="C55">
        <v>2</v>
      </c>
      <c r="D55">
        <v>0</v>
      </c>
      <c r="E55">
        <v>0</v>
      </c>
      <c r="F55">
        <v>839.92</v>
      </c>
    </row>
    <row r="56" spans="1:11" x14ac:dyDescent="0.3">
      <c r="A56" t="s">
        <v>4</v>
      </c>
      <c r="B56">
        <v>2001</v>
      </c>
      <c r="C56">
        <v>3</v>
      </c>
      <c r="D56">
        <v>59628.091796875</v>
      </c>
      <c r="E56">
        <v>1537972.9160156299</v>
      </c>
      <c r="F56">
        <v>854.09</v>
      </c>
    </row>
    <row r="57" spans="1:11" x14ac:dyDescent="0.3">
      <c r="A57" t="s">
        <v>4</v>
      </c>
      <c r="B57">
        <v>12</v>
      </c>
      <c r="C57">
        <v>1</v>
      </c>
      <c r="D57">
        <v>59628.091796875</v>
      </c>
      <c r="E57">
        <v>2066677.3798828099</v>
      </c>
      <c r="F57">
        <v>868.96</v>
      </c>
      <c r="G57" t="s">
        <v>7</v>
      </c>
      <c r="H57">
        <v>3</v>
      </c>
      <c r="I57">
        <f t="shared" ref="I57:J59" si="8">D57/(C57+D57)</f>
        <v>0.99998322966240361</v>
      </c>
      <c r="J57" s="6">
        <f t="shared" si="8"/>
        <v>0.97195694946419375</v>
      </c>
      <c r="K57" s="2">
        <f>(J57*$N$3)/$N$2</f>
        <v>3.3134896004461147</v>
      </c>
    </row>
    <row r="58" spans="1:11" x14ac:dyDescent="0.3">
      <c r="A58" t="s">
        <v>4</v>
      </c>
      <c r="B58">
        <v>12</v>
      </c>
      <c r="C58">
        <v>3</v>
      </c>
      <c r="D58">
        <v>0</v>
      </c>
      <c r="E58">
        <v>1089392.8212890599</v>
      </c>
      <c r="F58">
        <v>883.92</v>
      </c>
      <c r="G58" t="s">
        <v>7</v>
      </c>
      <c r="H58">
        <v>3</v>
      </c>
      <c r="I58">
        <f t="shared" si="8"/>
        <v>0</v>
      </c>
      <c r="J58" s="6">
        <f t="shared" si="8"/>
        <v>1</v>
      </c>
      <c r="K58" s="2">
        <f>(J58*$N$3)/$N$2</f>
        <v>3.4090909090909087</v>
      </c>
    </row>
    <row r="59" spans="1:11" x14ac:dyDescent="0.3">
      <c r="A59" t="s">
        <v>4</v>
      </c>
      <c r="B59">
        <v>12</v>
      </c>
      <c r="C59">
        <v>5</v>
      </c>
      <c r="D59">
        <v>0</v>
      </c>
      <c r="E59">
        <v>560688.357421875</v>
      </c>
      <c r="F59">
        <v>898.74</v>
      </c>
      <c r="G59" t="s">
        <v>7</v>
      </c>
      <c r="H59">
        <v>3</v>
      </c>
      <c r="I59">
        <f t="shared" si="8"/>
        <v>0</v>
      </c>
      <c r="J59" s="6">
        <f t="shared" si="8"/>
        <v>1</v>
      </c>
      <c r="K59" s="2">
        <f>(J59*$N$3)/$N$2</f>
        <v>3.4090909090909087</v>
      </c>
    </row>
    <row r="60" spans="1:11" x14ac:dyDescent="0.3">
      <c r="A60" t="s">
        <v>4</v>
      </c>
      <c r="B60">
        <v>2001</v>
      </c>
      <c r="C60">
        <v>2</v>
      </c>
      <c r="D60">
        <v>0</v>
      </c>
      <c r="E60">
        <v>0</v>
      </c>
      <c r="F60">
        <v>913.22</v>
      </c>
    </row>
    <row r="61" spans="1:11" x14ac:dyDescent="0.3">
      <c r="A61" t="s">
        <v>4</v>
      </c>
      <c r="B61">
        <v>2001</v>
      </c>
      <c r="C61">
        <v>3</v>
      </c>
      <c r="D61">
        <v>0</v>
      </c>
      <c r="E61">
        <v>0</v>
      </c>
      <c r="F61">
        <v>927.42</v>
      </c>
    </row>
    <row r="62" spans="1:11" x14ac:dyDescent="0.3">
      <c r="A62" t="s">
        <v>4</v>
      </c>
      <c r="B62">
        <v>12</v>
      </c>
      <c r="C62">
        <v>7</v>
      </c>
      <c r="D62">
        <v>0</v>
      </c>
      <c r="E62">
        <v>0</v>
      </c>
      <c r="F62">
        <v>942.27</v>
      </c>
      <c r="G62" t="s">
        <v>6</v>
      </c>
      <c r="H62">
        <v>3</v>
      </c>
      <c r="I62">
        <f t="shared" ref="I62:I64" si="9">(D62/C62+D62)</f>
        <v>0</v>
      </c>
      <c r="J62" s="6" t="e">
        <f>E62/(D62+E62)</f>
        <v>#DIV/0!</v>
      </c>
      <c r="K62" s="2" t="e">
        <f>(J62*$N$3)/$N$2</f>
        <v>#DIV/0!</v>
      </c>
    </row>
    <row r="63" spans="1:11" x14ac:dyDescent="0.3">
      <c r="A63" t="s">
        <v>4</v>
      </c>
      <c r="B63">
        <v>12</v>
      </c>
      <c r="C63">
        <v>9</v>
      </c>
      <c r="D63">
        <v>913409.13916015602</v>
      </c>
      <c r="E63">
        <v>0</v>
      </c>
      <c r="F63">
        <v>957.23</v>
      </c>
      <c r="G63" t="s">
        <v>6</v>
      </c>
      <c r="H63">
        <v>3</v>
      </c>
      <c r="I63">
        <f t="shared" si="9"/>
        <v>1014899.0435112845</v>
      </c>
      <c r="J63" s="6">
        <f>E63/(D63+E63)</f>
        <v>0</v>
      </c>
      <c r="K63" s="2">
        <f>(J63*$N$3)/$N$2</f>
        <v>0</v>
      </c>
    </row>
    <row r="64" spans="1:11" x14ac:dyDescent="0.3">
      <c r="A64" t="s">
        <v>4</v>
      </c>
      <c r="B64">
        <v>12</v>
      </c>
      <c r="C64">
        <v>11</v>
      </c>
      <c r="D64">
        <v>2041050.1450195301</v>
      </c>
      <c r="E64">
        <v>0</v>
      </c>
      <c r="F64">
        <v>972.2</v>
      </c>
      <c r="G64" t="s">
        <v>6</v>
      </c>
      <c r="H64">
        <v>3</v>
      </c>
      <c r="I64">
        <f t="shared" si="9"/>
        <v>2226600.1582031236</v>
      </c>
      <c r="J64" s="6">
        <f>E64/(D64+E64)</f>
        <v>0</v>
      </c>
      <c r="K64" s="2">
        <f>(J64*$N$3)/$N$2</f>
        <v>0</v>
      </c>
    </row>
    <row r="65" spans="1:11" x14ac:dyDescent="0.3">
      <c r="A65" t="s">
        <v>4</v>
      </c>
      <c r="B65">
        <v>2001</v>
      </c>
      <c r="C65">
        <v>2</v>
      </c>
      <c r="D65">
        <v>4490808.5888671903</v>
      </c>
      <c r="E65">
        <v>0</v>
      </c>
      <c r="F65">
        <v>986.52</v>
      </c>
    </row>
    <row r="66" spans="1:11" x14ac:dyDescent="0.3">
      <c r="A66" t="s">
        <v>4</v>
      </c>
      <c r="B66">
        <v>2001</v>
      </c>
      <c r="C66">
        <v>3</v>
      </c>
      <c r="D66">
        <v>3363167.5830078102</v>
      </c>
      <c r="E66">
        <v>0</v>
      </c>
      <c r="F66">
        <v>1000.8</v>
      </c>
    </row>
    <row r="67" spans="1:11" x14ac:dyDescent="0.3">
      <c r="A67" t="s">
        <v>4</v>
      </c>
      <c r="B67">
        <v>2001</v>
      </c>
      <c r="C67">
        <v>2</v>
      </c>
      <c r="D67">
        <v>0</v>
      </c>
      <c r="E67">
        <v>0</v>
      </c>
      <c r="F67">
        <v>1015.24</v>
      </c>
    </row>
    <row r="68" spans="1:11" x14ac:dyDescent="0.3">
      <c r="A68" t="s">
        <v>4</v>
      </c>
      <c r="B68">
        <v>2001</v>
      </c>
      <c r="C68">
        <v>3</v>
      </c>
      <c r="D68">
        <v>99290.33203125</v>
      </c>
      <c r="E68">
        <v>3340174.8940429701</v>
      </c>
      <c r="F68">
        <v>1029.3599999999999</v>
      </c>
    </row>
    <row r="69" spans="1:11" x14ac:dyDescent="0.3">
      <c r="A69" t="s">
        <v>4</v>
      </c>
      <c r="B69">
        <v>11</v>
      </c>
      <c r="C69">
        <v>1</v>
      </c>
      <c r="D69">
        <v>99290.33203125</v>
      </c>
      <c r="E69">
        <v>4045174.1596679701</v>
      </c>
      <c r="F69">
        <v>1044.31</v>
      </c>
      <c r="G69" t="s">
        <v>7</v>
      </c>
      <c r="H69">
        <v>5</v>
      </c>
      <c r="I69">
        <f t="shared" ref="I69:J71" si="10">D69/(C69+D69)</f>
        <v>0.99998992862740843</v>
      </c>
      <c r="J69" s="6">
        <f t="shared" si="10"/>
        <v>0.9760426631160396</v>
      </c>
      <c r="K69" s="2">
        <f>(J69*$N$3)/$N$2</f>
        <v>3.3274181697137712</v>
      </c>
    </row>
    <row r="70" spans="1:11" x14ac:dyDescent="0.3">
      <c r="A70" t="s">
        <v>4</v>
      </c>
      <c r="B70">
        <v>11</v>
      </c>
      <c r="C70">
        <v>3</v>
      </c>
      <c r="D70">
        <v>0</v>
      </c>
      <c r="E70">
        <v>1414338.1606445301</v>
      </c>
      <c r="F70">
        <v>1059.19</v>
      </c>
      <c r="G70" t="s">
        <v>7</v>
      </c>
      <c r="H70">
        <v>5</v>
      </c>
      <c r="I70">
        <f t="shared" si="10"/>
        <v>0</v>
      </c>
      <c r="J70" s="6">
        <f t="shared" si="10"/>
        <v>1</v>
      </c>
      <c r="K70" s="2">
        <f>(J70*$N$3)/$N$2</f>
        <v>3.4090909090909087</v>
      </c>
    </row>
    <row r="71" spans="1:11" x14ac:dyDescent="0.3">
      <c r="A71" t="s">
        <v>4</v>
      </c>
      <c r="B71">
        <v>11</v>
      </c>
      <c r="C71">
        <v>5</v>
      </c>
      <c r="D71">
        <v>0</v>
      </c>
      <c r="E71">
        <v>709338.89501953102</v>
      </c>
      <c r="F71">
        <v>1074.18</v>
      </c>
      <c r="G71" t="s">
        <v>7</v>
      </c>
      <c r="H71">
        <v>5</v>
      </c>
      <c r="I71">
        <f t="shared" si="10"/>
        <v>0</v>
      </c>
      <c r="J71" s="6">
        <f t="shared" si="10"/>
        <v>1</v>
      </c>
      <c r="K71" s="2">
        <f>(J71*$N$3)/$N$2</f>
        <v>3.4090909090909087</v>
      </c>
    </row>
    <row r="72" spans="1:11" x14ac:dyDescent="0.3">
      <c r="A72" t="s">
        <v>4</v>
      </c>
      <c r="B72">
        <v>2001</v>
      </c>
      <c r="C72">
        <v>2</v>
      </c>
      <c r="D72">
        <v>0</v>
      </c>
      <c r="E72">
        <v>0</v>
      </c>
      <c r="F72">
        <v>1088.6199999999999</v>
      </c>
    </row>
    <row r="73" spans="1:11" x14ac:dyDescent="0.3">
      <c r="A73" t="s">
        <v>4</v>
      </c>
      <c r="B73">
        <v>2001</v>
      </c>
      <c r="C73">
        <v>3</v>
      </c>
      <c r="D73">
        <v>0</v>
      </c>
      <c r="E73">
        <v>0</v>
      </c>
      <c r="F73">
        <v>1102.72</v>
      </c>
    </row>
    <row r="74" spans="1:11" x14ac:dyDescent="0.3">
      <c r="A74" t="s">
        <v>4</v>
      </c>
      <c r="B74">
        <v>11</v>
      </c>
      <c r="C74">
        <v>7</v>
      </c>
      <c r="D74">
        <v>0</v>
      </c>
      <c r="E74">
        <v>0</v>
      </c>
      <c r="F74">
        <v>1117.72</v>
      </c>
      <c r="G74" t="s">
        <v>6</v>
      </c>
      <c r="H74">
        <v>5</v>
      </c>
      <c r="I74">
        <f t="shared" ref="I74:I76" si="11">(D74/C74+D74)</f>
        <v>0</v>
      </c>
      <c r="J74" s="6" t="e">
        <f>E74/(D74+E74)</f>
        <v>#DIV/0!</v>
      </c>
      <c r="K74" s="2" t="e">
        <f>(J74*$N$3)/$N$2</f>
        <v>#DIV/0!</v>
      </c>
    </row>
    <row r="75" spans="1:11" x14ac:dyDescent="0.3">
      <c r="A75" t="s">
        <v>4</v>
      </c>
      <c r="B75">
        <v>11</v>
      </c>
      <c r="C75">
        <v>9</v>
      </c>
      <c r="D75">
        <v>199943.65332031299</v>
      </c>
      <c r="E75">
        <v>0</v>
      </c>
      <c r="F75">
        <v>1132.57</v>
      </c>
      <c r="G75" t="s">
        <v>6</v>
      </c>
      <c r="H75">
        <v>5</v>
      </c>
      <c r="I75">
        <f t="shared" si="11"/>
        <v>222159.61480034777</v>
      </c>
      <c r="J75" s="6">
        <f>E75/(D75+E75)</f>
        <v>0</v>
      </c>
      <c r="K75" s="2">
        <f>(J75*$N$3)/$N$2</f>
        <v>0</v>
      </c>
    </row>
    <row r="76" spans="1:11" x14ac:dyDescent="0.3">
      <c r="A76" t="s">
        <v>4</v>
      </c>
      <c r="B76">
        <v>11</v>
      </c>
      <c r="C76">
        <v>11</v>
      </c>
      <c r="D76">
        <v>1407945.8925781299</v>
      </c>
      <c r="E76">
        <v>0</v>
      </c>
      <c r="F76">
        <v>1147.54</v>
      </c>
      <c r="G76" t="s">
        <v>6</v>
      </c>
      <c r="H76">
        <v>5</v>
      </c>
      <c r="I76">
        <f t="shared" si="11"/>
        <v>1535940.9737215962</v>
      </c>
      <c r="J76" s="6">
        <f>E76/(D76+E76)</f>
        <v>0</v>
      </c>
      <c r="K76" s="2">
        <f>(J76*$N$3)/$N$2</f>
        <v>0</v>
      </c>
    </row>
    <row r="77" spans="1:11" x14ac:dyDescent="0.3">
      <c r="A77" t="s">
        <v>4</v>
      </c>
      <c r="B77">
        <v>2001</v>
      </c>
      <c r="C77">
        <v>2</v>
      </c>
      <c r="D77">
        <v>1971071.6708984401</v>
      </c>
      <c r="E77">
        <v>0</v>
      </c>
      <c r="F77">
        <v>1161.98</v>
      </c>
    </row>
    <row r="78" spans="1:11" x14ac:dyDescent="0.3">
      <c r="A78" t="s">
        <v>4</v>
      </c>
      <c r="B78">
        <v>2001</v>
      </c>
      <c r="C78">
        <v>3</v>
      </c>
      <c r="D78">
        <v>763069.431640625</v>
      </c>
      <c r="E78">
        <v>0</v>
      </c>
      <c r="F78">
        <v>1176.03</v>
      </c>
    </row>
    <row r="79" spans="1:11" x14ac:dyDescent="0.3">
      <c r="A79" t="s">
        <v>4</v>
      </c>
      <c r="B79">
        <v>2001</v>
      </c>
      <c r="C79">
        <v>2</v>
      </c>
      <c r="D79">
        <v>0</v>
      </c>
      <c r="E79">
        <v>0</v>
      </c>
      <c r="F79">
        <v>1190.3599999999999</v>
      </c>
    </row>
    <row r="80" spans="1:11" x14ac:dyDescent="0.3">
      <c r="A80" t="s">
        <v>4</v>
      </c>
      <c r="B80">
        <v>2001</v>
      </c>
      <c r="C80">
        <v>3</v>
      </c>
      <c r="D80">
        <v>40396.0849609375</v>
      </c>
      <c r="E80">
        <v>1846496.8173828099</v>
      </c>
      <c r="F80">
        <v>1204.56</v>
      </c>
    </row>
    <row r="81" spans="1:11" x14ac:dyDescent="0.3">
      <c r="A81" t="s">
        <v>4</v>
      </c>
      <c r="B81">
        <v>10</v>
      </c>
      <c r="C81">
        <v>1</v>
      </c>
      <c r="D81">
        <v>40396.0849609375</v>
      </c>
      <c r="E81">
        <v>2620824.28515625</v>
      </c>
      <c r="F81">
        <v>1219.45</v>
      </c>
      <c r="G81" t="s">
        <v>7</v>
      </c>
      <c r="H81">
        <v>10</v>
      </c>
      <c r="I81">
        <f t="shared" ref="I81:J83" si="12">D81/(C81+D81)</f>
        <v>0.99997524573862284</v>
      </c>
      <c r="J81" s="6">
        <f t="shared" si="12"/>
        <v>0.98482046604837969</v>
      </c>
      <c r="K81" s="2">
        <f>(J81*$N$3)/$N$2</f>
        <v>3.3573424978922031</v>
      </c>
    </row>
    <row r="82" spans="1:11" x14ac:dyDescent="0.3">
      <c r="A82" t="s">
        <v>4</v>
      </c>
      <c r="B82">
        <v>10</v>
      </c>
      <c r="C82">
        <v>3</v>
      </c>
      <c r="D82">
        <v>80659.2734375</v>
      </c>
      <c r="E82">
        <v>3368586.3496093801</v>
      </c>
      <c r="F82">
        <v>1234.4100000000001</v>
      </c>
      <c r="G82" t="s">
        <v>7</v>
      </c>
      <c r="H82">
        <v>10</v>
      </c>
      <c r="I82">
        <f t="shared" si="12"/>
        <v>0.99996280789181669</v>
      </c>
      <c r="J82" s="6">
        <f t="shared" si="12"/>
        <v>0.97661538717377572</v>
      </c>
      <c r="K82" s="2">
        <f>(J82*$N$3)/$N$2</f>
        <v>3.3293706380924171</v>
      </c>
    </row>
    <row r="83" spans="1:11" x14ac:dyDescent="0.3">
      <c r="A83" t="s">
        <v>4</v>
      </c>
      <c r="B83">
        <v>10</v>
      </c>
      <c r="C83">
        <v>5</v>
      </c>
      <c r="D83">
        <v>80659.2734375</v>
      </c>
      <c r="E83">
        <v>2594258.8818359398</v>
      </c>
      <c r="F83">
        <v>1249.24</v>
      </c>
      <c r="G83" t="s">
        <v>7</v>
      </c>
      <c r="H83">
        <v>10</v>
      </c>
      <c r="I83">
        <f t="shared" si="12"/>
        <v>0.99993801468993737</v>
      </c>
      <c r="J83" s="6">
        <f>E83/(D83+E83)</f>
        <v>0.96984607798990596</v>
      </c>
      <c r="K83" s="2">
        <f>(J83*$N$3)/$N$2</f>
        <v>3.3062934476928612</v>
      </c>
    </row>
    <row r="84" spans="1:11" x14ac:dyDescent="0.3">
      <c r="A84" t="s">
        <v>4</v>
      </c>
      <c r="B84">
        <v>2001</v>
      </c>
      <c r="C84">
        <v>2</v>
      </c>
      <c r="D84">
        <v>0</v>
      </c>
      <c r="E84">
        <v>0</v>
      </c>
      <c r="F84">
        <v>1263.7</v>
      </c>
    </row>
    <row r="85" spans="1:11" x14ac:dyDescent="0.3">
      <c r="A85" t="s">
        <v>4</v>
      </c>
      <c r="B85">
        <v>2001</v>
      </c>
      <c r="C85">
        <v>3</v>
      </c>
      <c r="D85">
        <v>0</v>
      </c>
      <c r="E85">
        <v>0</v>
      </c>
      <c r="F85">
        <v>1277.9000000000001</v>
      </c>
    </row>
    <row r="86" spans="1:11" x14ac:dyDescent="0.3">
      <c r="A86" t="s">
        <v>4</v>
      </c>
      <c r="B86">
        <v>10</v>
      </c>
      <c r="C86">
        <v>7</v>
      </c>
      <c r="D86">
        <v>0</v>
      </c>
      <c r="E86">
        <v>0</v>
      </c>
      <c r="F86">
        <v>1292.8900000000001</v>
      </c>
      <c r="G86" t="s">
        <v>6</v>
      </c>
      <c r="H86">
        <v>10</v>
      </c>
      <c r="I86">
        <f t="shared" ref="I86:I88" si="13">(D86/C86+D86)</f>
        <v>0</v>
      </c>
      <c r="J86" s="6" t="e">
        <f>E86/(D86+E86)</f>
        <v>#DIV/0!</v>
      </c>
      <c r="K86" s="2" t="e">
        <f>(J86*$N$3)/$N$2</f>
        <v>#DIV/0!</v>
      </c>
    </row>
    <row r="87" spans="1:11" x14ac:dyDescent="0.3">
      <c r="A87" t="s">
        <v>4</v>
      </c>
      <c r="B87">
        <v>10</v>
      </c>
      <c r="C87">
        <v>9</v>
      </c>
      <c r="D87">
        <v>1162943.8408203099</v>
      </c>
      <c r="E87">
        <v>0</v>
      </c>
      <c r="F87">
        <v>1307.75</v>
      </c>
      <c r="G87" t="s">
        <v>6</v>
      </c>
      <c r="H87">
        <v>10</v>
      </c>
      <c r="I87">
        <f t="shared" si="13"/>
        <v>1292159.8231336777</v>
      </c>
      <c r="J87" s="6">
        <f>E87/(D87+E87)</f>
        <v>0</v>
      </c>
      <c r="K87" s="2">
        <f>(J87*$N$3)/$N$2</f>
        <v>0</v>
      </c>
    </row>
    <row r="88" spans="1:11" x14ac:dyDescent="0.3">
      <c r="A88" t="s">
        <v>4</v>
      </c>
      <c r="B88">
        <v>10</v>
      </c>
      <c r="C88">
        <v>11</v>
      </c>
      <c r="D88">
        <v>2779105.37109375</v>
      </c>
      <c r="E88">
        <v>0</v>
      </c>
      <c r="F88">
        <v>1322.46</v>
      </c>
      <c r="G88" t="s">
        <v>6</v>
      </c>
      <c r="H88">
        <v>10</v>
      </c>
      <c r="I88">
        <f t="shared" si="13"/>
        <v>3031751.3139204546</v>
      </c>
      <c r="J88" s="6">
        <f>E88/(D88+E88)</f>
        <v>0</v>
      </c>
      <c r="K88" s="2">
        <f>(J88*$N$3)/$N$2</f>
        <v>0</v>
      </c>
    </row>
    <row r="89" spans="1:11" x14ac:dyDescent="0.3">
      <c r="A89" t="s">
        <v>4</v>
      </c>
      <c r="B89">
        <v>2001</v>
      </c>
      <c r="C89">
        <v>2</v>
      </c>
      <c r="D89">
        <v>3241863.5712890602</v>
      </c>
      <c r="E89">
        <v>0</v>
      </c>
      <c r="F89">
        <v>1336.91</v>
      </c>
    </row>
    <row r="90" spans="1:11" x14ac:dyDescent="0.3">
      <c r="A90" t="s">
        <v>4</v>
      </c>
      <c r="B90">
        <v>2001</v>
      </c>
      <c r="C90">
        <v>3</v>
      </c>
      <c r="D90">
        <v>1625702.0410156299</v>
      </c>
      <c r="E90">
        <v>0</v>
      </c>
      <c r="F90">
        <v>1351.02</v>
      </c>
    </row>
    <row r="91" spans="1:11" x14ac:dyDescent="0.3">
      <c r="A91" t="s">
        <v>4</v>
      </c>
      <c r="B91">
        <v>2001</v>
      </c>
      <c r="C91">
        <v>2</v>
      </c>
      <c r="D91">
        <v>0</v>
      </c>
      <c r="E91">
        <v>0</v>
      </c>
      <c r="F91">
        <v>1365.48</v>
      </c>
    </row>
    <row r="92" spans="1:11" x14ac:dyDescent="0.3">
      <c r="A92" t="s">
        <v>4</v>
      </c>
      <c r="B92">
        <v>2001</v>
      </c>
      <c r="C92">
        <v>3</v>
      </c>
      <c r="D92">
        <v>198091.328125</v>
      </c>
      <c r="E92">
        <v>4803619.4375</v>
      </c>
      <c r="F92">
        <v>1379.76</v>
      </c>
    </row>
    <row r="93" spans="1:11" x14ac:dyDescent="0.3">
      <c r="A93" t="s">
        <v>4</v>
      </c>
      <c r="B93">
        <v>9</v>
      </c>
      <c r="C93">
        <v>1</v>
      </c>
      <c r="D93">
        <v>351297.76953125</v>
      </c>
      <c r="E93">
        <v>8997609.3457031306</v>
      </c>
      <c r="F93">
        <v>1394.65</v>
      </c>
      <c r="G93" t="s">
        <v>7</v>
      </c>
      <c r="H93">
        <v>20</v>
      </c>
      <c r="I93">
        <f t="shared" ref="I93:J95" si="14">D93/(C93+D93)</f>
        <v>0.99999715342014628</v>
      </c>
      <c r="J93" s="6">
        <f t="shared" si="14"/>
        <v>0.9624236538879718</v>
      </c>
      <c r="K93" s="2">
        <f>(J93*$N$3)/$N$2</f>
        <v>3.2809897291635401</v>
      </c>
    </row>
    <row r="94" spans="1:11" x14ac:dyDescent="0.3">
      <c r="A94" t="s">
        <v>4</v>
      </c>
      <c r="B94">
        <v>9</v>
      </c>
      <c r="C94">
        <v>3</v>
      </c>
      <c r="D94">
        <v>325618.40234375</v>
      </c>
      <c r="E94">
        <v>8646437.9941406306</v>
      </c>
      <c r="F94">
        <v>1409.49</v>
      </c>
      <c r="G94" t="s">
        <v>7</v>
      </c>
      <c r="H94">
        <v>20</v>
      </c>
      <c r="I94">
        <f t="shared" si="14"/>
        <v>0.99999078684638543</v>
      </c>
      <c r="J94" s="6">
        <f t="shared" si="14"/>
        <v>0.96370749492041308</v>
      </c>
      <c r="K94" s="2">
        <f>(J94*$N$3)/$N$2</f>
        <v>3.2853664599559536</v>
      </c>
    </row>
    <row r="95" spans="1:11" x14ac:dyDescent="0.3">
      <c r="A95" t="s">
        <v>4</v>
      </c>
      <c r="B95">
        <v>9</v>
      </c>
      <c r="C95">
        <v>5</v>
      </c>
      <c r="D95">
        <v>172411.9609375</v>
      </c>
      <c r="E95">
        <v>4452448.0859375</v>
      </c>
      <c r="F95">
        <v>1424.34</v>
      </c>
      <c r="G95" t="s">
        <v>7</v>
      </c>
      <c r="H95">
        <v>20</v>
      </c>
      <c r="I95">
        <f t="shared" si="14"/>
        <v>0.99997100053281984</v>
      </c>
      <c r="J95" s="6">
        <f t="shared" si="14"/>
        <v>0.96272061009629939</v>
      </c>
      <c r="K95" s="2">
        <f>(J95*$N$3)/$N$2</f>
        <v>3.2820020798737479</v>
      </c>
    </row>
    <row r="96" spans="1:11" x14ac:dyDescent="0.3">
      <c r="A96" t="s">
        <v>4</v>
      </c>
      <c r="B96">
        <v>2001</v>
      </c>
      <c r="C96">
        <v>2</v>
      </c>
      <c r="D96">
        <v>0</v>
      </c>
      <c r="E96">
        <v>0</v>
      </c>
      <c r="F96">
        <v>1438.83</v>
      </c>
    </row>
    <row r="97" spans="1:11" x14ac:dyDescent="0.3">
      <c r="A97" t="s">
        <v>4</v>
      </c>
      <c r="B97">
        <v>2001</v>
      </c>
      <c r="C97">
        <v>3</v>
      </c>
      <c r="D97">
        <v>0</v>
      </c>
      <c r="E97">
        <v>0</v>
      </c>
      <c r="F97">
        <v>1453.03</v>
      </c>
    </row>
    <row r="98" spans="1:11" x14ac:dyDescent="0.3">
      <c r="A98" t="s">
        <v>4</v>
      </c>
      <c r="B98">
        <v>9</v>
      </c>
      <c r="C98">
        <v>7</v>
      </c>
      <c r="D98">
        <v>0</v>
      </c>
      <c r="E98">
        <v>0</v>
      </c>
      <c r="F98">
        <v>1467.87</v>
      </c>
      <c r="G98" t="s">
        <v>6</v>
      </c>
      <c r="H98">
        <v>20</v>
      </c>
      <c r="I98">
        <f t="shared" ref="I98:J100" si="15">D98/(C98+D98)</f>
        <v>0</v>
      </c>
      <c r="J98" s="6" t="e">
        <f t="shared" si="15"/>
        <v>#DIV/0!</v>
      </c>
      <c r="K98" s="2" t="e">
        <f>(J98*$N$3)/$N$2</f>
        <v>#DIV/0!</v>
      </c>
    </row>
    <row r="99" spans="1:11" x14ac:dyDescent="0.3">
      <c r="A99" t="s">
        <v>4</v>
      </c>
      <c r="B99">
        <v>9</v>
      </c>
      <c r="C99">
        <v>9</v>
      </c>
      <c r="D99">
        <v>0</v>
      </c>
      <c r="E99">
        <v>0</v>
      </c>
      <c r="F99">
        <v>1482.61</v>
      </c>
      <c r="G99" t="s">
        <v>6</v>
      </c>
      <c r="H99">
        <v>20</v>
      </c>
      <c r="I99">
        <f t="shared" si="15"/>
        <v>0</v>
      </c>
      <c r="J99" s="6" t="e">
        <f t="shared" si="15"/>
        <v>#DIV/0!</v>
      </c>
      <c r="K99" s="2" t="e">
        <f>(J99*$N$3)/$N$2</f>
        <v>#DIV/0!</v>
      </c>
    </row>
    <row r="100" spans="1:11" x14ac:dyDescent="0.3">
      <c r="A100" t="s">
        <v>4</v>
      </c>
      <c r="B100">
        <v>9</v>
      </c>
      <c r="C100">
        <v>11</v>
      </c>
      <c r="D100">
        <v>0</v>
      </c>
      <c r="E100">
        <v>0</v>
      </c>
      <c r="F100">
        <v>1497.33</v>
      </c>
      <c r="G100" t="s">
        <v>6</v>
      </c>
      <c r="H100">
        <v>20</v>
      </c>
      <c r="I100">
        <f t="shared" si="15"/>
        <v>0</v>
      </c>
      <c r="J100" s="6" t="e">
        <f t="shared" si="15"/>
        <v>#DIV/0!</v>
      </c>
      <c r="K100" s="2" t="e">
        <f>(J100*$N$3)/$N$2</f>
        <v>#DIV/0!</v>
      </c>
    </row>
    <row r="101" spans="1:11" x14ac:dyDescent="0.3">
      <c r="A101" t="s">
        <v>4</v>
      </c>
      <c r="B101">
        <v>2001</v>
      </c>
      <c r="C101">
        <v>2</v>
      </c>
      <c r="D101">
        <v>1250545.9394531299</v>
      </c>
      <c r="E101">
        <v>0</v>
      </c>
      <c r="F101">
        <v>1511.63</v>
      </c>
    </row>
    <row r="102" spans="1:11" x14ac:dyDescent="0.3">
      <c r="A102" t="s">
        <v>4</v>
      </c>
      <c r="B102">
        <v>2001</v>
      </c>
      <c r="C102">
        <v>3</v>
      </c>
      <c r="D102">
        <v>5068058.9140625</v>
      </c>
      <c r="E102">
        <v>0</v>
      </c>
      <c r="F102">
        <v>1525.82</v>
      </c>
    </row>
    <row r="103" spans="1:11" x14ac:dyDescent="0.3">
      <c r="A103" t="s">
        <v>4</v>
      </c>
      <c r="B103">
        <v>2001</v>
      </c>
      <c r="C103">
        <v>2</v>
      </c>
      <c r="D103">
        <v>10290547</v>
      </c>
      <c r="E103">
        <v>0</v>
      </c>
      <c r="F103">
        <v>1540.28</v>
      </c>
    </row>
    <row r="104" spans="1:11" x14ac:dyDescent="0.3">
      <c r="A104" t="s">
        <v>4</v>
      </c>
      <c r="B104">
        <v>2001</v>
      </c>
      <c r="C104">
        <v>3</v>
      </c>
      <c r="D104">
        <v>6473034.0253906297</v>
      </c>
      <c r="E104">
        <v>0</v>
      </c>
      <c r="F104">
        <v>1554.46</v>
      </c>
    </row>
    <row r="105" spans="1:11" x14ac:dyDescent="0.3">
      <c r="A105" t="s">
        <v>4</v>
      </c>
      <c r="B105">
        <v>2001</v>
      </c>
      <c r="C105">
        <v>2</v>
      </c>
      <c r="D105">
        <v>0</v>
      </c>
      <c r="E105">
        <v>0</v>
      </c>
      <c r="F105">
        <v>1568.84</v>
      </c>
    </row>
    <row r="106" spans="1:11" x14ac:dyDescent="0.3">
      <c r="A106" t="s">
        <v>4</v>
      </c>
      <c r="B106">
        <v>2001</v>
      </c>
      <c r="C106">
        <v>3</v>
      </c>
      <c r="D106">
        <v>0</v>
      </c>
      <c r="E106">
        <v>0</v>
      </c>
      <c r="F106">
        <v>1583.05</v>
      </c>
    </row>
    <row r="107" spans="1:11" x14ac:dyDescent="0.3">
      <c r="A107" t="s">
        <v>4</v>
      </c>
      <c r="B107">
        <v>8</v>
      </c>
      <c r="C107">
        <v>1</v>
      </c>
      <c r="D107">
        <v>0</v>
      </c>
      <c r="E107">
        <v>0</v>
      </c>
      <c r="F107">
        <v>1597.88</v>
      </c>
      <c r="G107" t="s">
        <v>7</v>
      </c>
      <c r="H107">
        <v>40</v>
      </c>
      <c r="I107">
        <f t="shared" ref="I107:J109" si="16">D107/(C107+D107)</f>
        <v>0</v>
      </c>
      <c r="J107" s="6" t="e">
        <f t="shared" si="16"/>
        <v>#DIV/0!</v>
      </c>
      <c r="K107" s="2" t="e">
        <f>(J107*$N$3)/$N$2</f>
        <v>#DIV/0!</v>
      </c>
    </row>
    <row r="108" spans="1:11" x14ac:dyDescent="0.3">
      <c r="A108" t="s">
        <v>4</v>
      </c>
      <c r="B108">
        <v>8</v>
      </c>
      <c r="C108">
        <v>3</v>
      </c>
      <c r="D108">
        <v>125173.94433593799</v>
      </c>
      <c r="E108">
        <v>3704923.56640625</v>
      </c>
      <c r="F108">
        <v>1612.87</v>
      </c>
      <c r="G108" t="s">
        <v>7</v>
      </c>
      <c r="H108">
        <v>40</v>
      </c>
      <c r="I108">
        <f t="shared" si="16"/>
        <v>0.99997603392528944</v>
      </c>
      <c r="J108" s="6">
        <f t="shared" si="16"/>
        <v>0.96731834007231787</v>
      </c>
      <c r="K108" s="2">
        <f>(J108*$N$3)/$N$2</f>
        <v>3.2976761593374468</v>
      </c>
    </row>
    <row r="109" spans="1:11" x14ac:dyDescent="0.3">
      <c r="A109" t="s">
        <v>4</v>
      </c>
      <c r="B109">
        <v>8</v>
      </c>
      <c r="C109">
        <v>5</v>
      </c>
      <c r="D109">
        <v>283266.52636718802</v>
      </c>
      <c r="E109">
        <v>8302358.984375</v>
      </c>
      <c r="F109">
        <v>1627.83</v>
      </c>
      <c r="G109" t="s">
        <v>7</v>
      </c>
      <c r="H109">
        <v>40</v>
      </c>
      <c r="I109">
        <f t="shared" si="16"/>
        <v>0.99998234909076766</v>
      </c>
      <c r="J109" s="6">
        <f t="shared" si="16"/>
        <v>0.96700688540249402</v>
      </c>
      <c r="K109" s="2">
        <f>(J109*$N$3)/$N$2</f>
        <v>3.2966143820539568</v>
      </c>
    </row>
    <row r="110" spans="1:11" x14ac:dyDescent="0.3">
      <c r="A110" t="s">
        <v>4</v>
      </c>
      <c r="B110">
        <v>2001</v>
      </c>
      <c r="C110">
        <v>2</v>
      </c>
      <c r="D110">
        <v>319255.734375</v>
      </c>
      <c r="E110">
        <v>9042879.6123046894</v>
      </c>
      <c r="F110">
        <v>1642.19</v>
      </c>
    </row>
    <row r="111" spans="1:11" x14ac:dyDescent="0.3">
      <c r="A111" t="s">
        <v>4</v>
      </c>
      <c r="B111">
        <v>2001</v>
      </c>
      <c r="C111">
        <v>3</v>
      </c>
      <c r="D111">
        <v>161163.15234375</v>
      </c>
      <c r="E111">
        <v>4445444.1943359403</v>
      </c>
      <c r="F111">
        <v>1656.38</v>
      </c>
    </row>
    <row r="112" spans="1:11" x14ac:dyDescent="0.3">
      <c r="A112" t="s">
        <v>4</v>
      </c>
      <c r="B112">
        <v>2001</v>
      </c>
      <c r="C112">
        <v>2</v>
      </c>
      <c r="D112">
        <v>0</v>
      </c>
      <c r="E112">
        <v>0</v>
      </c>
      <c r="F112">
        <v>1670.8</v>
      </c>
    </row>
    <row r="113" spans="1:11" x14ac:dyDescent="0.3">
      <c r="A113" t="s">
        <v>4</v>
      </c>
      <c r="B113">
        <v>2001</v>
      </c>
      <c r="C113">
        <v>3</v>
      </c>
      <c r="D113">
        <v>0</v>
      </c>
      <c r="E113">
        <v>0</v>
      </c>
      <c r="F113">
        <v>1685</v>
      </c>
    </row>
    <row r="114" spans="1:11" x14ac:dyDescent="0.3">
      <c r="A114" t="s">
        <v>4</v>
      </c>
      <c r="B114">
        <v>8</v>
      </c>
      <c r="C114">
        <v>7</v>
      </c>
      <c r="D114">
        <v>0</v>
      </c>
      <c r="E114">
        <v>0</v>
      </c>
      <c r="F114">
        <v>1699.84</v>
      </c>
      <c r="G114" t="s">
        <v>6</v>
      </c>
      <c r="H114">
        <v>40</v>
      </c>
      <c r="I114">
        <f t="shared" ref="I114:J116" si="17">D114/(C114+D114)</f>
        <v>0</v>
      </c>
      <c r="J114" s="6" t="e">
        <f t="shared" si="17"/>
        <v>#DIV/0!</v>
      </c>
      <c r="K114" s="2" t="e">
        <f>(J114*$N$3)/$N$2</f>
        <v>#DIV/0!</v>
      </c>
    </row>
    <row r="115" spans="1:11" x14ac:dyDescent="0.3">
      <c r="A115" t="s">
        <v>4</v>
      </c>
      <c r="B115">
        <v>8</v>
      </c>
      <c r="C115">
        <v>9</v>
      </c>
      <c r="D115">
        <v>1175492.9091796901</v>
      </c>
      <c r="E115">
        <v>0</v>
      </c>
      <c r="F115">
        <v>1714.56</v>
      </c>
      <c r="G115" t="s">
        <v>6</v>
      </c>
      <c r="H115">
        <v>40</v>
      </c>
      <c r="I115">
        <f t="shared" si="17"/>
        <v>0.9999923436959739</v>
      </c>
      <c r="J115" s="6">
        <f t="shared" si="17"/>
        <v>0</v>
      </c>
      <c r="K115" s="2">
        <f>(J115*$N$3)/$N$2</f>
        <v>0</v>
      </c>
    </row>
    <row r="116" spans="1:11" x14ac:dyDescent="0.3">
      <c r="A116" t="s">
        <v>4</v>
      </c>
      <c r="B116">
        <v>8</v>
      </c>
      <c r="C116">
        <v>11</v>
      </c>
      <c r="D116">
        <v>5696701.9746093797</v>
      </c>
      <c r="E116">
        <v>0</v>
      </c>
      <c r="F116">
        <v>1729.28</v>
      </c>
      <c r="G116" t="s">
        <v>6</v>
      </c>
      <c r="H116">
        <v>40</v>
      </c>
      <c r="I116">
        <f t="shared" si="17"/>
        <v>0.99999806906192235</v>
      </c>
      <c r="J116" s="6">
        <f t="shared" si="17"/>
        <v>0</v>
      </c>
      <c r="K116" s="2">
        <f>(J116*$N$3)/$N$2</f>
        <v>0</v>
      </c>
    </row>
    <row r="117" spans="1:11" x14ac:dyDescent="0.3">
      <c r="A117" t="s">
        <v>4</v>
      </c>
      <c r="B117">
        <v>2001</v>
      </c>
      <c r="C117">
        <v>2</v>
      </c>
      <c r="D117">
        <v>8109516.87646484</v>
      </c>
      <c r="E117">
        <v>0</v>
      </c>
      <c r="F117">
        <v>1743.64</v>
      </c>
    </row>
    <row r="118" spans="1:11" x14ac:dyDescent="0.3">
      <c r="A118" t="s">
        <v>4</v>
      </c>
      <c r="B118">
        <v>2001</v>
      </c>
      <c r="C118">
        <v>3</v>
      </c>
      <c r="D118">
        <v>3588307.81103516</v>
      </c>
      <c r="E118">
        <v>0</v>
      </c>
      <c r="F118">
        <v>1757.93</v>
      </c>
    </row>
    <row r="119" spans="1:11" x14ac:dyDescent="0.3">
      <c r="A119" t="s">
        <v>4</v>
      </c>
      <c r="B119">
        <v>2001</v>
      </c>
      <c r="C119">
        <v>2</v>
      </c>
      <c r="D119">
        <v>0</v>
      </c>
      <c r="E119">
        <v>0</v>
      </c>
      <c r="F119">
        <v>1772.27</v>
      </c>
    </row>
    <row r="120" spans="1:11" x14ac:dyDescent="0.3">
      <c r="A120" t="s">
        <v>4</v>
      </c>
      <c r="B120">
        <v>2001</v>
      </c>
      <c r="C120">
        <v>3</v>
      </c>
      <c r="D120">
        <v>0</v>
      </c>
      <c r="E120">
        <v>0</v>
      </c>
      <c r="F120">
        <v>1786.48</v>
      </c>
    </row>
    <row r="121" spans="1:11" x14ac:dyDescent="0.3">
      <c r="A121" t="s">
        <v>4</v>
      </c>
      <c r="B121">
        <v>7</v>
      </c>
      <c r="C121">
        <v>1</v>
      </c>
      <c r="D121">
        <v>0</v>
      </c>
      <c r="E121">
        <v>0</v>
      </c>
      <c r="F121">
        <v>1801.46</v>
      </c>
      <c r="G121" t="s">
        <v>7</v>
      </c>
      <c r="H121">
        <v>60</v>
      </c>
      <c r="I121">
        <f t="shared" ref="I121:J123" si="18">D121/(C121+D121)</f>
        <v>0</v>
      </c>
      <c r="J121" s="6" t="e">
        <f t="shared" si="18"/>
        <v>#DIV/0!</v>
      </c>
      <c r="K121" s="2" t="e">
        <f>(J121*$N$3)/$N$2</f>
        <v>#DIV/0!</v>
      </c>
    </row>
    <row r="122" spans="1:11" x14ac:dyDescent="0.3">
      <c r="A122" t="s">
        <v>4</v>
      </c>
      <c r="B122">
        <v>7</v>
      </c>
      <c r="C122">
        <v>3</v>
      </c>
      <c r="D122">
        <v>77884.391113281294</v>
      </c>
      <c r="E122">
        <v>3283896.7880859398</v>
      </c>
      <c r="F122">
        <v>1816.3</v>
      </c>
      <c r="G122" t="s">
        <v>7</v>
      </c>
      <c r="H122">
        <v>60</v>
      </c>
      <c r="I122">
        <f t="shared" si="18"/>
        <v>0.99996148285419351</v>
      </c>
      <c r="J122" s="6">
        <f t="shared" si="18"/>
        <v>0.97683240313343855</v>
      </c>
      <c r="K122" s="2">
        <f>(J122*$N$3)/$N$2</f>
        <v>3.3301104652276314</v>
      </c>
    </row>
    <row r="123" spans="1:11" x14ac:dyDescent="0.3">
      <c r="A123" t="s">
        <v>4</v>
      </c>
      <c r="B123">
        <v>7</v>
      </c>
      <c r="C123">
        <v>5</v>
      </c>
      <c r="D123">
        <v>176611.91259765599</v>
      </c>
      <c r="E123">
        <v>6754014.6806640597</v>
      </c>
      <c r="F123">
        <v>1831.19</v>
      </c>
      <c r="G123" t="s">
        <v>7</v>
      </c>
      <c r="H123">
        <v>60</v>
      </c>
      <c r="I123">
        <f t="shared" si="18"/>
        <v>0.99997169014039222</v>
      </c>
      <c r="J123" s="6">
        <f t="shared" si="18"/>
        <v>0.97451717961989659</v>
      </c>
      <c r="K123" s="2">
        <f>(J123*$N$3)/$N$2</f>
        <v>3.3222176577951017</v>
      </c>
    </row>
    <row r="124" spans="1:11" x14ac:dyDescent="0.3">
      <c r="A124" t="s">
        <v>4</v>
      </c>
      <c r="B124">
        <v>2001</v>
      </c>
      <c r="C124">
        <v>2</v>
      </c>
      <c r="D124">
        <v>130680.40332031299</v>
      </c>
      <c r="E124">
        <v>5490826.6787109403</v>
      </c>
      <c r="F124">
        <v>1845.66</v>
      </c>
    </row>
    <row r="125" spans="1:11" x14ac:dyDescent="0.3">
      <c r="A125" t="s">
        <v>4</v>
      </c>
      <c r="B125">
        <v>2001</v>
      </c>
      <c r="C125">
        <v>3</v>
      </c>
      <c r="D125">
        <v>31952.8818359375</v>
      </c>
      <c r="E125">
        <v>2020708.7861328099</v>
      </c>
      <c r="F125">
        <v>1859.87</v>
      </c>
    </row>
    <row r="126" spans="1:11" x14ac:dyDescent="0.3">
      <c r="A126" t="s">
        <v>4</v>
      </c>
      <c r="B126">
        <v>2001</v>
      </c>
      <c r="C126">
        <v>2</v>
      </c>
      <c r="D126">
        <v>0</v>
      </c>
      <c r="E126">
        <v>0</v>
      </c>
      <c r="F126">
        <v>1874.24</v>
      </c>
    </row>
    <row r="127" spans="1:11" x14ac:dyDescent="0.3">
      <c r="A127" t="s">
        <v>4</v>
      </c>
      <c r="B127">
        <v>2001</v>
      </c>
      <c r="C127">
        <v>3</v>
      </c>
      <c r="D127">
        <v>0</v>
      </c>
      <c r="E127">
        <v>0</v>
      </c>
      <c r="F127">
        <v>1888.47</v>
      </c>
    </row>
    <row r="128" spans="1:11" x14ac:dyDescent="0.3">
      <c r="A128" t="s">
        <v>4</v>
      </c>
      <c r="B128">
        <v>7</v>
      </c>
      <c r="C128">
        <v>7</v>
      </c>
      <c r="D128">
        <v>0</v>
      </c>
      <c r="E128">
        <v>0</v>
      </c>
      <c r="F128">
        <v>1903.37</v>
      </c>
      <c r="G128" t="s">
        <v>6</v>
      </c>
      <c r="H128">
        <v>60</v>
      </c>
      <c r="I128">
        <f t="shared" ref="I128:J130" si="19">D128/(C128+D128)</f>
        <v>0</v>
      </c>
      <c r="J128" s="6" t="e">
        <f t="shared" si="19"/>
        <v>#DIV/0!</v>
      </c>
      <c r="K128" s="2" t="e">
        <f>(J128*$N$3)/$N$2</f>
        <v>#DIV/0!</v>
      </c>
    </row>
    <row r="129" spans="1:11" x14ac:dyDescent="0.3">
      <c r="A129" t="s">
        <v>4</v>
      </c>
      <c r="B129">
        <v>7</v>
      </c>
      <c r="C129">
        <v>9</v>
      </c>
      <c r="D129">
        <v>872229.15673828102</v>
      </c>
      <c r="E129">
        <v>0</v>
      </c>
      <c r="F129">
        <v>1918.08</v>
      </c>
      <c r="G129" t="s">
        <v>6</v>
      </c>
      <c r="H129">
        <v>60</v>
      </c>
      <c r="I129">
        <f t="shared" si="19"/>
        <v>0.99998968171716585</v>
      </c>
      <c r="J129" s="6">
        <f t="shared" si="19"/>
        <v>0</v>
      </c>
      <c r="K129" s="2">
        <f>(J129*$N$3)/$N$2</f>
        <v>0</v>
      </c>
    </row>
    <row r="130" spans="1:11" x14ac:dyDescent="0.3">
      <c r="A130" t="s">
        <v>4</v>
      </c>
      <c r="B130">
        <v>7</v>
      </c>
      <c r="C130">
        <v>11</v>
      </c>
      <c r="D130">
        <v>3975014.5942382799</v>
      </c>
      <c r="E130">
        <v>0</v>
      </c>
      <c r="F130">
        <v>1932.72</v>
      </c>
      <c r="G130" t="s">
        <v>6</v>
      </c>
      <c r="H130">
        <v>60</v>
      </c>
      <c r="I130">
        <f t="shared" si="19"/>
        <v>0.99999723272222052</v>
      </c>
      <c r="J130" s="6">
        <f t="shared" si="19"/>
        <v>0</v>
      </c>
      <c r="K130" s="2">
        <f>(J130*$N$3)/$N$2</f>
        <v>0</v>
      </c>
    </row>
    <row r="131" spans="1:11" x14ac:dyDescent="0.3">
      <c r="A131" t="s">
        <v>4</v>
      </c>
      <c r="B131">
        <v>2001</v>
      </c>
      <c r="C131">
        <v>2</v>
      </c>
      <c r="D131">
        <v>7431246.95166016</v>
      </c>
      <c r="E131">
        <v>0</v>
      </c>
      <c r="F131">
        <v>1946.84</v>
      </c>
    </row>
    <row r="132" spans="1:11" x14ac:dyDescent="0.3">
      <c r="A132" t="s">
        <v>4</v>
      </c>
      <c r="B132">
        <v>2001</v>
      </c>
      <c r="C132">
        <v>3</v>
      </c>
      <c r="D132">
        <v>4328461.51416016</v>
      </c>
      <c r="E132">
        <v>0</v>
      </c>
      <c r="F132">
        <v>1961.04</v>
      </c>
    </row>
    <row r="133" spans="1:11" x14ac:dyDescent="0.3">
      <c r="A133" t="s">
        <v>4</v>
      </c>
      <c r="B133">
        <v>2001</v>
      </c>
      <c r="C133">
        <v>2</v>
      </c>
      <c r="D133">
        <v>0</v>
      </c>
      <c r="E133">
        <v>0</v>
      </c>
      <c r="F133">
        <v>1975.5</v>
      </c>
    </row>
    <row r="134" spans="1:11" x14ac:dyDescent="0.3">
      <c r="A134" t="s">
        <v>4</v>
      </c>
      <c r="B134">
        <v>2001</v>
      </c>
      <c r="C134">
        <v>3</v>
      </c>
      <c r="D134">
        <v>0</v>
      </c>
      <c r="E134">
        <v>0</v>
      </c>
      <c r="F134">
        <v>1989.71</v>
      </c>
    </row>
    <row r="135" spans="1:11" x14ac:dyDescent="0.3">
      <c r="A135" t="s">
        <v>4</v>
      </c>
      <c r="B135">
        <v>6</v>
      </c>
      <c r="C135">
        <v>1</v>
      </c>
      <c r="D135">
        <v>0</v>
      </c>
      <c r="E135">
        <v>0</v>
      </c>
      <c r="F135">
        <v>2004.54</v>
      </c>
      <c r="G135" t="s">
        <v>7</v>
      </c>
      <c r="H135">
        <v>90</v>
      </c>
      <c r="I135">
        <f t="shared" ref="I135:J137" si="20">D135/(C135+D135)</f>
        <v>0</v>
      </c>
      <c r="J135" s="6" t="e">
        <f t="shared" si="20"/>
        <v>#DIV/0!</v>
      </c>
      <c r="K135" s="2" t="e">
        <f>(J135*$N$3)/$N$2</f>
        <v>#DIV/0!</v>
      </c>
    </row>
    <row r="136" spans="1:11" x14ac:dyDescent="0.3">
      <c r="A136" t="s">
        <v>4</v>
      </c>
      <c r="B136">
        <v>6</v>
      </c>
      <c r="C136">
        <v>3</v>
      </c>
      <c r="D136">
        <v>26865.847167968801</v>
      </c>
      <c r="E136">
        <v>2318660.0322265602</v>
      </c>
      <c r="F136">
        <v>2019.43</v>
      </c>
      <c r="G136" t="s">
        <v>7</v>
      </c>
      <c r="H136">
        <v>90</v>
      </c>
      <c r="I136">
        <f t="shared" si="20"/>
        <v>0.99988834653078917</v>
      </c>
      <c r="J136" s="6">
        <f t="shared" si="20"/>
        <v>0.98854591739789122</v>
      </c>
      <c r="K136" s="2">
        <f>(J136*$N$3)/$N$2</f>
        <v>3.3700429002200831</v>
      </c>
    </row>
    <row r="137" spans="1:11" x14ac:dyDescent="0.3">
      <c r="A137" t="s">
        <v>4</v>
      </c>
      <c r="B137">
        <v>6</v>
      </c>
      <c r="C137">
        <v>5</v>
      </c>
      <c r="D137">
        <v>115929.05761718799</v>
      </c>
      <c r="E137">
        <v>6008782.3564453097</v>
      </c>
      <c r="F137">
        <v>2034.39</v>
      </c>
      <c r="G137" t="s">
        <v>7</v>
      </c>
      <c r="H137">
        <v>90</v>
      </c>
      <c r="I137">
        <f t="shared" si="20"/>
        <v>0.99995687203482075</v>
      </c>
      <c r="J137" s="6">
        <f t="shared" si="20"/>
        <v>0.98107191510264269</v>
      </c>
      <c r="K137" s="2">
        <f>(J137*$N$3)/$N$2</f>
        <v>3.3445633469408271</v>
      </c>
    </row>
    <row r="138" spans="1:11" x14ac:dyDescent="0.3">
      <c r="A138" t="s">
        <v>4</v>
      </c>
      <c r="B138">
        <v>2001</v>
      </c>
      <c r="C138">
        <v>2</v>
      </c>
      <c r="D138">
        <v>208779.75244140599</v>
      </c>
      <c r="E138">
        <v>7994584.8457031297</v>
      </c>
      <c r="F138">
        <v>2048.7399999999998</v>
      </c>
    </row>
    <row r="139" spans="1:11" x14ac:dyDescent="0.3">
      <c r="A139" t="s">
        <v>4</v>
      </c>
      <c r="B139">
        <v>2001</v>
      </c>
      <c r="C139">
        <v>3</v>
      </c>
      <c r="D139">
        <v>119716.54199218799</v>
      </c>
      <c r="E139">
        <v>4304462.5214843797</v>
      </c>
      <c r="F139">
        <v>2062.94</v>
      </c>
    </row>
    <row r="140" spans="1:11" x14ac:dyDescent="0.3">
      <c r="A140" t="s">
        <v>4</v>
      </c>
      <c r="B140">
        <v>2001</v>
      </c>
      <c r="C140">
        <v>2</v>
      </c>
      <c r="D140">
        <v>0</v>
      </c>
      <c r="E140">
        <v>0</v>
      </c>
      <c r="F140">
        <v>2077.4299999999998</v>
      </c>
    </row>
    <row r="141" spans="1:11" x14ac:dyDescent="0.3">
      <c r="A141" t="s">
        <v>4</v>
      </c>
      <c r="B141">
        <v>2001</v>
      </c>
      <c r="C141">
        <v>3</v>
      </c>
      <c r="D141">
        <v>0</v>
      </c>
      <c r="E141">
        <v>0</v>
      </c>
      <c r="F141">
        <v>2091.56</v>
      </c>
    </row>
    <row r="142" spans="1:11" x14ac:dyDescent="0.3">
      <c r="A142" t="s">
        <v>4</v>
      </c>
      <c r="B142">
        <v>6</v>
      </c>
      <c r="C142">
        <v>7</v>
      </c>
      <c r="D142">
        <v>0</v>
      </c>
      <c r="E142">
        <v>0</v>
      </c>
      <c r="F142">
        <v>2106.54</v>
      </c>
      <c r="G142" t="s">
        <v>6</v>
      </c>
      <c r="H142">
        <v>90</v>
      </c>
      <c r="I142">
        <f t="shared" ref="I142:J144" si="21">D142/(C142+D142)</f>
        <v>0</v>
      </c>
      <c r="J142" s="6" t="e">
        <f t="shared" si="21"/>
        <v>#DIV/0!</v>
      </c>
      <c r="K142" s="2" t="e">
        <f>(J142*$N$3)/$N$2</f>
        <v>#DIV/0!</v>
      </c>
    </row>
    <row r="143" spans="1:11" x14ac:dyDescent="0.3">
      <c r="A143" t="s">
        <v>4</v>
      </c>
      <c r="B143">
        <v>6</v>
      </c>
      <c r="C143">
        <v>9</v>
      </c>
      <c r="D143">
        <v>0</v>
      </c>
      <c r="E143">
        <v>0</v>
      </c>
      <c r="F143">
        <v>2121.17</v>
      </c>
      <c r="G143" t="s">
        <v>6</v>
      </c>
      <c r="H143">
        <v>90</v>
      </c>
      <c r="I143">
        <f t="shared" si="21"/>
        <v>0</v>
      </c>
      <c r="J143" s="6" t="e">
        <f t="shared" si="21"/>
        <v>#DIV/0!</v>
      </c>
      <c r="K143" s="2" t="e">
        <f>(J143*$N$3)/$N$2</f>
        <v>#DIV/0!</v>
      </c>
    </row>
    <row r="144" spans="1:11" x14ac:dyDescent="0.3">
      <c r="A144" t="s">
        <v>4</v>
      </c>
      <c r="B144">
        <v>6</v>
      </c>
      <c r="C144">
        <v>11</v>
      </c>
      <c r="D144">
        <v>0</v>
      </c>
      <c r="E144">
        <v>0</v>
      </c>
      <c r="F144">
        <v>2135.9299999999998</v>
      </c>
      <c r="G144" t="s">
        <v>6</v>
      </c>
      <c r="H144">
        <v>90</v>
      </c>
      <c r="I144">
        <f t="shared" si="21"/>
        <v>0</v>
      </c>
      <c r="J144" s="6" t="e">
        <f t="shared" si="21"/>
        <v>#DIV/0!</v>
      </c>
      <c r="K144" s="2" t="e">
        <f>(J144*$N$3)/$N$2</f>
        <v>#DIV/0!</v>
      </c>
    </row>
    <row r="145" spans="1:11" x14ac:dyDescent="0.3">
      <c r="A145" t="s">
        <v>4</v>
      </c>
      <c r="B145">
        <v>2001</v>
      </c>
      <c r="C145">
        <v>2</v>
      </c>
      <c r="D145">
        <v>2289959.65625</v>
      </c>
      <c r="E145">
        <v>0</v>
      </c>
      <c r="F145">
        <v>2150.27</v>
      </c>
    </row>
    <row r="146" spans="1:11" x14ac:dyDescent="0.3">
      <c r="A146" t="s">
        <v>4</v>
      </c>
      <c r="B146">
        <v>2001</v>
      </c>
      <c r="C146">
        <v>3</v>
      </c>
      <c r="D146">
        <v>3154390.0185546898</v>
      </c>
      <c r="E146">
        <v>0</v>
      </c>
      <c r="F146">
        <v>2164.4899999999998</v>
      </c>
    </row>
    <row r="147" spans="1:11" x14ac:dyDescent="0.3">
      <c r="A147" t="s">
        <v>4</v>
      </c>
      <c r="B147">
        <v>2001</v>
      </c>
      <c r="C147">
        <v>2</v>
      </c>
      <c r="D147">
        <v>4761822.41015625</v>
      </c>
      <c r="E147">
        <v>0</v>
      </c>
      <c r="F147">
        <v>2178.9499999999998</v>
      </c>
    </row>
    <row r="148" spans="1:11" x14ac:dyDescent="0.3">
      <c r="A148" t="s">
        <v>4</v>
      </c>
      <c r="B148">
        <v>2001</v>
      </c>
      <c r="C148">
        <v>3</v>
      </c>
      <c r="D148">
        <v>3897392.0478515602</v>
      </c>
      <c r="E148">
        <v>0</v>
      </c>
      <c r="F148">
        <v>2193.17</v>
      </c>
    </row>
    <row r="149" spans="1:11" x14ac:dyDescent="0.3">
      <c r="A149" t="s">
        <v>4</v>
      </c>
      <c r="B149">
        <v>2001</v>
      </c>
      <c r="C149">
        <v>2</v>
      </c>
      <c r="D149">
        <v>0</v>
      </c>
      <c r="E149">
        <v>0</v>
      </c>
      <c r="F149">
        <v>2207.5</v>
      </c>
    </row>
    <row r="150" spans="1:11" x14ac:dyDescent="0.3">
      <c r="A150" t="s">
        <v>4</v>
      </c>
      <c r="B150">
        <v>2001</v>
      </c>
      <c r="C150">
        <v>3</v>
      </c>
      <c r="D150">
        <v>0</v>
      </c>
      <c r="E150">
        <v>1106708.0029296901</v>
      </c>
      <c r="F150">
        <v>2221.8000000000002</v>
      </c>
    </row>
    <row r="151" spans="1:11" x14ac:dyDescent="0.3">
      <c r="A151" t="s">
        <v>4</v>
      </c>
      <c r="B151">
        <v>5</v>
      </c>
      <c r="C151">
        <v>1</v>
      </c>
      <c r="D151">
        <v>0</v>
      </c>
      <c r="E151">
        <v>1987000.4609375</v>
      </c>
      <c r="F151">
        <v>2236.71</v>
      </c>
      <c r="G151" t="s">
        <v>7</v>
      </c>
      <c r="H151">
        <v>120</v>
      </c>
      <c r="I151">
        <f t="shared" ref="I151:J153" si="22">D151/(C151+D151)</f>
        <v>0</v>
      </c>
      <c r="J151" s="6">
        <f t="shared" si="22"/>
        <v>1</v>
      </c>
      <c r="K151" s="2">
        <f>(J151*$N$3)/$N$2</f>
        <v>3.4090909090909087</v>
      </c>
    </row>
    <row r="152" spans="1:11" x14ac:dyDescent="0.3">
      <c r="A152" t="s">
        <v>4</v>
      </c>
      <c r="B152">
        <v>5</v>
      </c>
      <c r="C152">
        <v>3</v>
      </c>
      <c r="D152">
        <v>0</v>
      </c>
      <c r="E152">
        <v>1835326.3056640599</v>
      </c>
      <c r="F152">
        <v>2251.54</v>
      </c>
      <c r="G152" t="s">
        <v>7</v>
      </c>
      <c r="H152">
        <v>120</v>
      </c>
      <c r="I152">
        <f t="shared" si="22"/>
        <v>0</v>
      </c>
      <c r="J152" s="6">
        <f t="shared" si="22"/>
        <v>1</v>
      </c>
      <c r="K152" s="2">
        <f>(J152*$N$3)/$N$2</f>
        <v>3.4090909090909087</v>
      </c>
    </row>
    <row r="153" spans="1:11" x14ac:dyDescent="0.3">
      <c r="A153" t="s">
        <v>4</v>
      </c>
      <c r="B153">
        <v>5</v>
      </c>
      <c r="C153">
        <v>5</v>
      </c>
      <c r="D153">
        <v>0</v>
      </c>
      <c r="E153">
        <v>955033.84765625</v>
      </c>
      <c r="F153">
        <v>2266.4299999999998</v>
      </c>
      <c r="G153" t="s">
        <v>7</v>
      </c>
      <c r="H153">
        <v>120</v>
      </c>
      <c r="I153">
        <f t="shared" si="22"/>
        <v>0</v>
      </c>
      <c r="J153" s="6">
        <f t="shared" si="22"/>
        <v>1</v>
      </c>
      <c r="K153" s="2">
        <f>(J153*$N$3)/$N$2</f>
        <v>3.4090909090909087</v>
      </c>
    </row>
    <row r="154" spans="1:11" x14ac:dyDescent="0.3">
      <c r="A154" t="s">
        <v>4</v>
      </c>
      <c r="B154">
        <v>2001</v>
      </c>
      <c r="C154">
        <v>2</v>
      </c>
      <c r="D154">
        <v>0</v>
      </c>
      <c r="E154">
        <v>0</v>
      </c>
      <c r="F154">
        <v>2280.9</v>
      </c>
    </row>
    <row r="155" spans="1:11" x14ac:dyDescent="0.3">
      <c r="A155" t="s">
        <v>4</v>
      </c>
      <c r="B155">
        <v>2001</v>
      </c>
      <c r="C155">
        <v>3</v>
      </c>
      <c r="D155">
        <v>0</v>
      </c>
      <c r="E155">
        <v>0</v>
      </c>
      <c r="F155">
        <v>2295.14</v>
      </c>
    </row>
    <row r="156" spans="1:11" x14ac:dyDescent="0.3">
      <c r="A156" t="s">
        <v>4</v>
      </c>
      <c r="B156">
        <v>5</v>
      </c>
      <c r="C156">
        <v>7</v>
      </c>
      <c r="D156">
        <v>0</v>
      </c>
      <c r="E156">
        <v>0</v>
      </c>
      <c r="F156">
        <v>2310</v>
      </c>
      <c r="G156" t="s">
        <v>6</v>
      </c>
      <c r="H156">
        <v>120</v>
      </c>
      <c r="I156">
        <f t="shared" ref="I156:J158" si="23">D156/(C156+D156)</f>
        <v>0</v>
      </c>
      <c r="J156" s="6" t="e">
        <f t="shared" si="23"/>
        <v>#DIV/0!</v>
      </c>
      <c r="K156" s="2" t="e">
        <f>(J156*$N$3)/$N$2</f>
        <v>#DIV/0!</v>
      </c>
    </row>
    <row r="157" spans="1:11" x14ac:dyDescent="0.3">
      <c r="A157" t="s">
        <v>4</v>
      </c>
      <c r="B157">
        <v>5</v>
      </c>
      <c r="C157">
        <v>9</v>
      </c>
      <c r="D157">
        <v>228831.32177734401</v>
      </c>
      <c r="E157">
        <v>0</v>
      </c>
      <c r="F157">
        <v>2324.75</v>
      </c>
      <c r="G157" t="s">
        <v>6</v>
      </c>
      <c r="H157">
        <v>120</v>
      </c>
      <c r="I157">
        <f t="shared" si="23"/>
        <v>0.9999606712666278</v>
      </c>
      <c r="J157" s="6">
        <f t="shared" si="23"/>
        <v>0</v>
      </c>
      <c r="K157" s="2">
        <f>(J157*$N$3)/$N$2</f>
        <v>0</v>
      </c>
    </row>
    <row r="158" spans="1:11" x14ac:dyDescent="0.3">
      <c r="A158" t="s">
        <v>4</v>
      </c>
      <c r="B158">
        <v>5</v>
      </c>
      <c r="C158">
        <v>11</v>
      </c>
      <c r="D158">
        <v>491769.86279296898</v>
      </c>
      <c r="E158">
        <v>0</v>
      </c>
      <c r="F158">
        <v>2339.38</v>
      </c>
      <c r="G158" t="s">
        <v>6</v>
      </c>
      <c r="H158">
        <v>120</v>
      </c>
      <c r="I158">
        <f t="shared" si="23"/>
        <v>0.99997763231383685</v>
      </c>
      <c r="J158" s="6">
        <f t="shared" si="23"/>
        <v>0</v>
      </c>
      <c r="K158" s="2">
        <f>(J158*$N$3)/$N$2</f>
        <v>0</v>
      </c>
    </row>
    <row r="159" spans="1:11" x14ac:dyDescent="0.3">
      <c r="A159" t="s">
        <v>4</v>
      </c>
      <c r="B159">
        <v>2001</v>
      </c>
      <c r="C159">
        <v>2</v>
      </c>
      <c r="D159">
        <v>1299452.3613281299</v>
      </c>
      <c r="E159">
        <v>31372.955566406301</v>
      </c>
      <c r="F159">
        <v>2353.81</v>
      </c>
    </row>
    <row r="160" spans="1:11" x14ac:dyDescent="0.3">
      <c r="A160" t="s">
        <v>4</v>
      </c>
      <c r="B160">
        <v>2001</v>
      </c>
      <c r="C160">
        <v>3</v>
      </c>
      <c r="D160">
        <v>1036513.8203125</v>
      </c>
      <c r="E160">
        <v>31372.955566406301</v>
      </c>
      <c r="F160">
        <v>2368.0300000000002</v>
      </c>
    </row>
    <row r="161" spans="1:11" x14ac:dyDescent="0.3">
      <c r="A161" t="s">
        <v>4</v>
      </c>
      <c r="B161">
        <v>2001</v>
      </c>
      <c r="C161">
        <v>2</v>
      </c>
      <c r="D161">
        <v>0</v>
      </c>
      <c r="E161">
        <v>0</v>
      </c>
      <c r="F161">
        <v>2382.38</v>
      </c>
    </row>
    <row r="162" spans="1:11" x14ac:dyDescent="0.3">
      <c r="A162" t="s">
        <v>4</v>
      </c>
      <c r="B162">
        <v>2001</v>
      </c>
      <c r="C162">
        <v>3</v>
      </c>
      <c r="D162">
        <v>46153.876464843801</v>
      </c>
      <c r="E162">
        <v>4100688.7285156301</v>
      </c>
      <c r="F162">
        <v>2396.71</v>
      </c>
    </row>
    <row r="163" spans="1:11" x14ac:dyDescent="0.3">
      <c r="A163" t="s">
        <v>4</v>
      </c>
      <c r="B163">
        <v>4</v>
      </c>
      <c r="C163">
        <v>1</v>
      </c>
      <c r="D163">
        <v>51633.6708984375</v>
      </c>
      <c r="E163">
        <v>6948415.3720703097</v>
      </c>
      <c r="F163">
        <v>2411.59</v>
      </c>
      <c r="G163" t="s">
        <v>7</v>
      </c>
      <c r="H163">
        <v>300</v>
      </c>
      <c r="I163">
        <f t="shared" ref="I163:J165" si="24">D163/(C163+D163)</f>
        <v>0.9999806331679354</v>
      </c>
      <c r="J163" s="6">
        <f t="shared" si="24"/>
        <v>0.9926238129788103</v>
      </c>
      <c r="K163" s="2">
        <f>(J163*$N$3)/$N$2</f>
        <v>3.3839448169732167</v>
      </c>
    </row>
    <row r="164" spans="1:11" x14ac:dyDescent="0.3">
      <c r="A164" t="s">
        <v>4</v>
      </c>
      <c r="B164">
        <v>4</v>
      </c>
      <c r="C164">
        <v>3</v>
      </c>
      <c r="D164">
        <v>28563.374511718801</v>
      </c>
      <c r="E164">
        <v>6108888.2919921903</v>
      </c>
      <c r="F164">
        <v>2426.4499999999998</v>
      </c>
      <c r="G164" t="s">
        <v>7</v>
      </c>
      <c r="H164">
        <v>300</v>
      </c>
      <c r="I164">
        <f t="shared" si="24"/>
        <v>0.99989498142304445</v>
      </c>
      <c r="J164" s="6">
        <f t="shared" si="24"/>
        <v>0.995346053042241</v>
      </c>
      <c r="K164" s="2">
        <f>(J164*$N$3)/$N$2</f>
        <v>3.3932251808258211</v>
      </c>
    </row>
    <row r="165" spans="1:11" x14ac:dyDescent="0.3">
      <c r="A165" t="s">
        <v>4</v>
      </c>
      <c r="B165">
        <v>4</v>
      </c>
      <c r="C165">
        <v>5</v>
      </c>
      <c r="D165">
        <v>23083.580078125</v>
      </c>
      <c r="E165">
        <v>3261161.6484375</v>
      </c>
      <c r="F165">
        <v>2441.33</v>
      </c>
      <c r="G165" t="s">
        <v>7</v>
      </c>
      <c r="H165">
        <v>300</v>
      </c>
      <c r="I165">
        <f t="shared" si="24"/>
        <v>0.99978344272436492</v>
      </c>
      <c r="J165" s="6">
        <f t="shared" si="24"/>
        <v>0.99297142007615613</v>
      </c>
      <c r="K165" s="2">
        <f>(J165*$N$3)/$N$2</f>
        <v>3.3851298411687138</v>
      </c>
    </row>
    <row r="166" spans="1:11" x14ac:dyDescent="0.3">
      <c r="A166" t="s">
        <v>4</v>
      </c>
      <c r="B166">
        <v>2001</v>
      </c>
      <c r="C166">
        <v>2</v>
      </c>
      <c r="D166">
        <v>0</v>
      </c>
      <c r="E166">
        <v>0</v>
      </c>
      <c r="F166">
        <v>2455.8200000000002</v>
      </c>
    </row>
    <row r="167" spans="1:11" x14ac:dyDescent="0.3">
      <c r="A167" t="s">
        <v>4</v>
      </c>
      <c r="B167">
        <v>2001</v>
      </c>
      <c r="C167">
        <v>3</v>
      </c>
      <c r="D167">
        <v>0</v>
      </c>
      <c r="E167">
        <v>0</v>
      </c>
      <c r="F167">
        <v>2470.0300000000002</v>
      </c>
    </row>
    <row r="168" spans="1:11" x14ac:dyDescent="0.3">
      <c r="A168" t="s">
        <v>4</v>
      </c>
      <c r="B168">
        <v>4</v>
      </c>
      <c r="C168">
        <v>7</v>
      </c>
      <c r="D168">
        <v>0</v>
      </c>
      <c r="E168">
        <v>0</v>
      </c>
      <c r="F168">
        <v>2484.88</v>
      </c>
      <c r="G168" t="s">
        <v>6</v>
      </c>
      <c r="H168">
        <v>300</v>
      </c>
      <c r="I168">
        <f t="shared" ref="I168:J170" si="25">D168/(C168+D168)</f>
        <v>0</v>
      </c>
      <c r="J168" s="6" t="e">
        <f t="shared" si="25"/>
        <v>#DIV/0!</v>
      </c>
      <c r="K168" s="2" t="e">
        <f>(J168*$N$3)/$N$2</f>
        <v>#DIV/0!</v>
      </c>
    </row>
    <row r="169" spans="1:11" x14ac:dyDescent="0.3">
      <c r="A169" t="s">
        <v>4</v>
      </c>
      <c r="B169">
        <v>4</v>
      </c>
      <c r="C169">
        <v>9</v>
      </c>
      <c r="D169">
        <v>0</v>
      </c>
      <c r="E169">
        <v>0</v>
      </c>
      <c r="F169">
        <v>2499.85</v>
      </c>
      <c r="G169" t="s">
        <v>6</v>
      </c>
      <c r="H169">
        <v>300</v>
      </c>
      <c r="I169">
        <f t="shared" si="25"/>
        <v>0</v>
      </c>
      <c r="J169" s="6" t="e">
        <f t="shared" si="25"/>
        <v>#DIV/0!</v>
      </c>
      <c r="K169" s="2" t="e">
        <f>(J169*$N$3)/$N$2</f>
        <v>#DIV/0!</v>
      </c>
    </row>
    <row r="170" spans="1:11" x14ac:dyDescent="0.3">
      <c r="A170" t="s">
        <v>4</v>
      </c>
      <c r="B170">
        <v>4</v>
      </c>
      <c r="C170">
        <v>11</v>
      </c>
      <c r="D170">
        <v>0</v>
      </c>
      <c r="E170">
        <v>0</v>
      </c>
      <c r="F170">
        <v>2514.4899999999998</v>
      </c>
      <c r="G170" t="s">
        <v>6</v>
      </c>
      <c r="H170">
        <v>300</v>
      </c>
      <c r="I170">
        <f t="shared" si="25"/>
        <v>0</v>
      </c>
      <c r="J170" s="6" t="e">
        <f t="shared" si="25"/>
        <v>#DIV/0!</v>
      </c>
      <c r="K170" s="2" t="e">
        <f>(J170*$N$3)/$N$2</f>
        <v>#DIV/0!</v>
      </c>
    </row>
    <row r="171" spans="1:11" x14ac:dyDescent="0.3">
      <c r="A171" t="s">
        <v>4</v>
      </c>
      <c r="B171">
        <v>2001</v>
      </c>
      <c r="C171">
        <v>2</v>
      </c>
      <c r="D171">
        <v>0</v>
      </c>
      <c r="E171">
        <v>0</v>
      </c>
      <c r="F171">
        <v>2528.56</v>
      </c>
    </row>
    <row r="172" spans="1:11" x14ac:dyDescent="0.3">
      <c r="A172" t="s">
        <v>4</v>
      </c>
      <c r="B172">
        <v>2001</v>
      </c>
      <c r="C172">
        <v>3</v>
      </c>
      <c r="D172">
        <v>0</v>
      </c>
      <c r="E172">
        <v>0</v>
      </c>
      <c r="F172">
        <v>2542.73</v>
      </c>
    </row>
    <row r="173" spans="1:11" x14ac:dyDescent="0.3">
      <c r="A173" t="s">
        <v>4</v>
      </c>
      <c r="B173">
        <v>2001</v>
      </c>
      <c r="C173">
        <v>2</v>
      </c>
      <c r="D173">
        <v>0</v>
      </c>
      <c r="E173">
        <v>0</v>
      </c>
      <c r="F173">
        <v>2557.2199999999998</v>
      </c>
    </row>
    <row r="174" spans="1:11" x14ac:dyDescent="0.3">
      <c r="A174" t="s">
        <v>4</v>
      </c>
      <c r="B174">
        <v>2001</v>
      </c>
      <c r="C174">
        <v>3</v>
      </c>
      <c r="D174">
        <v>0</v>
      </c>
      <c r="E174">
        <v>0</v>
      </c>
      <c r="F174">
        <v>2571.41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EA6E-2231-4F9E-B323-0338AF70244C}">
  <dimension ref="A1:S172"/>
  <sheetViews>
    <sheetView workbookViewId="0">
      <selection activeCell="K168" sqref="K168"/>
    </sheetView>
  </sheetViews>
  <sheetFormatPr defaultRowHeight="14.4" x14ac:dyDescent="0.3"/>
  <cols>
    <col min="9" max="9" width="11" bestFit="1" customWidth="1"/>
    <col min="10" max="10" width="11" style="6" bestFit="1" customWidth="1"/>
    <col min="14" max="15" width="9.33203125" bestFit="1" customWidth="1"/>
    <col min="19" max="19" width="9.33203125" bestFit="1" customWidth="1"/>
  </cols>
  <sheetData>
    <row r="1" spans="1:19" x14ac:dyDescent="0.3">
      <c r="A1" t="s">
        <v>8</v>
      </c>
    </row>
    <row r="2" spans="1:19" x14ac:dyDescent="0.3">
      <c r="A2" t="s">
        <v>0</v>
      </c>
      <c r="B2" t="s">
        <v>1</v>
      </c>
      <c r="C2" t="s">
        <v>2</v>
      </c>
      <c r="D2">
        <v>1442.74</v>
      </c>
      <c r="E2">
        <v>1474.74</v>
      </c>
      <c r="F2" t="s">
        <v>3</v>
      </c>
      <c r="G2" t="s">
        <v>5</v>
      </c>
      <c r="H2" t="s">
        <v>9</v>
      </c>
      <c r="I2" t="s">
        <v>16</v>
      </c>
      <c r="J2" s="6" t="s">
        <v>20</v>
      </c>
      <c r="K2" t="s">
        <v>13</v>
      </c>
      <c r="M2" t="s">
        <v>14</v>
      </c>
      <c r="N2" s="2">
        <v>2.5400000000000002E-3</v>
      </c>
    </row>
    <row r="3" spans="1:19" x14ac:dyDescent="0.3">
      <c r="A3" t="s">
        <v>4</v>
      </c>
      <c r="B3">
        <v>2001</v>
      </c>
      <c r="C3">
        <v>2</v>
      </c>
      <c r="D3">
        <v>0</v>
      </c>
      <c r="E3">
        <v>0</v>
      </c>
      <c r="F3">
        <v>4.71</v>
      </c>
      <c r="M3" t="s">
        <v>15</v>
      </c>
      <c r="N3" s="2">
        <v>8.9999999999999993E-3</v>
      </c>
    </row>
    <row r="4" spans="1:19" x14ac:dyDescent="0.3">
      <c r="A4" t="s">
        <v>4</v>
      </c>
      <c r="B4">
        <v>2001</v>
      </c>
      <c r="C4">
        <v>3</v>
      </c>
      <c r="D4">
        <v>0</v>
      </c>
      <c r="E4">
        <v>0</v>
      </c>
      <c r="F4">
        <v>18.91</v>
      </c>
    </row>
    <row r="5" spans="1:19" x14ac:dyDescent="0.3">
      <c r="A5" t="s">
        <v>4</v>
      </c>
      <c r="B5">
        <v>2001</v>
      </c>
      <c r="C5">
        <v>2</v>
      </c>
      <c r="D5">
        <v>0</v>
      </c>
      <c r="E5">
        <v>0</v>
      </c>
      <c r="F5">
        <v>33.229999999999997</v>
      </c>
    </row>
    <row r="6" spans="1:19" x14ac:dyDescent="0.3">
      <c r="A6" t="s">
        <v>4</v>
      </c>
      <c r="B6">
        <v>2001</v>
      </c>
      <c r="C6">
        <v>3</v>
      </c>
      <c r="D6">
        <v>0</v>
      </c>
      <c r="E6">
        <v>0</v>
      </c>
      <c r="F6">
        <v>47.41</v>
      </c>
    </row>
    <row r="7" spans="1:19" ht="15.6" x14ac:dyDescent="0.3">
      <c r="A7" t="s">
        <v>4</v>
      </c>
      <c r="B7">
        <v>16</v>
      </c>
      <c r="C7">
        <v>14</v>
      </c>
      <c r="D7">
        <v>3161668.2910156301</v>
      </c>
      <c r="E7">
        <v>0</v>
      </c>
      <c r="F7">
        <v>62.39</v>
      </c>
      <c r="G7" t="s">
        <v>7</v>
      </c>
      <c r="H7">
        <v>0</v>
      </c>
      <c r="I7">
        <f t="shared" ref="I7:J9" si="0">D7/(C7+D7)</f>
        <v>0.99999557197760203</v>
      </c>
      <c r="J7" s="6">
        <f t="shared" si="0"/>
        <v>0</v>
      </c>
      <c r="K7" s="2">
        <f>(J7*$N$3)/$N$2</f>
        <v>0</v>
      </c>
      <c r="M7" s="3"/>
      <c r="N7" s="4" t="s">
        <v>17</v>
      </c>
      <c r="O7" s="3"/>
      <c r="Q7" s="3"/>
      <c r="R7" s="4" t="s">
        <v>17</v>
      </c>
      <c r="S7" s="3"/>
    </row>
    <row r="8" spans="1:19" ht="15.6" x14ac:dyDescent="0.3">
      <c r="A8" t="s">
        <v>4</v>
      </c>
      <c r="B8">
        <v>16</v>
      </c>
      <c r="C8">
        <v>16</v>
      </c>
      <c r="D8">
        <v>6822257.0126953097</v>
      </c>
      <c r="E8">
        <v>0</v>
      </c>
      <c r="F8">
        <v>77.25</v>
      </c>
      <c r="G8" t="s">
        <v>7</v>
      </c>
      <c r="H8">
        <v>0</v>
      </c>
      <c r="I8">
        <f t="shared" si="0"/>
        <v>0.99999765474058711</v>
      </c>
      <c r="J8" s="6">
        <f t="shared" si="0"/>
        <v>0</v>
      </c>
      <c r="K8" s="2">
        <f>(J8*$N$3)/$N$2</f>
        <v>0</v>
      </c>
      <c r="M8" s="4" t="s">
        <v>18</v>
      </c>
      <c r="N8" s="4" t="s">
        <v>13</v>
      </c>
      <c r="O8" s="3" t="s">
        <v>19</v>
      </c>
      <c r="Q8" s="4" t="s">
        <v>18</v>
      </c>
      <c r="R8" s="4" t="s">
        <v>20</v>
      </c>
      <c r="S8" s="3" t="s">
        <v>19</v>
      </c>
    </row>
    <row r="9" spans="1:19" ht="15.6" x14ac:dyDescent="0.3">
      <c r="A9" t="s">
        <v>4</v>
      </c>
      <c r="B9">
        <v>16</v>
      </c>
      <c r="C9">
        <v>18</v>
      </c>
      <c r="D9">
        <v>1276361.6025390599</v>
      </c>
      <c r="E9">
        <v>0</v>
      </c>
      <c r="F9">
        <v>92.12</v>
      </c>
      <c r="G9" t="s">
        <v>7</v>
      </c>
      <c r="H9">
        <v>0</v>
      </c>
      <c r="I9">
        <f t="shared" si="0"/>
        <v>0.99998589761230583</v>
      </c>
      <c r="J9" s="6">
        <f t="shared" si="0"/>
        <v>0</v>
      </c>
      <c r="K9" s="2">
        <f>(J9*$N$3)/$N$2</f>
        <v>0</v>
      </c>
      <c r="M9" s="3">
        <v>0</v>
      </c>
      <c r="N9" s="5">
        <f>AVERAGE(K12:K14)</f>
        <v>0</v>
      </c>
      <c r="O9" s="5">
        <f>STDEV(K12:K14)</f>
        <v>0</v>
      </c>
      <c r="Q9" s="3">
        <v>0</v>
      </c>
      <c r="R9" s="7">
        <f>AVERAGE(J12:J14)</f>
        <v>0</v>
      </c>
      <c r="S9" s="7">
        <f>STDEV(J12:J14)</f>
        <v>0</v>
      </c>
    </row>
    <row r="10" spans="1:19" ht="15.6" x14ac:dyDescent="0.3">
      <c r="A10" t="s">
        <v>4</v>
      </c>
      <c r="B10">
        <v>2001</v>
      </c>
      <c r="C10">
        <v>2</v>
      </c>
      <c r="D10">
        <v>0</v>
      </c>
      <c r="E10">
        <v>0</v>
      </c>
      <c r="F10">
        <v>106.55</v>
      </c>
      <c r="M10" s="3">
        <v>0.5</v>
      </c>
      <c r="N10" s="5">
        <f>AVERAGE(K24:K26)</f>
        <v>1.0044567126140251</v>
      </c>
      <c r="O10" s="5">
        <f>STDEV(K24:K26)</f>
        <v>3.4477748764276027E-2</v>
      </c>
      <c r="Q10" s="3">
        <v>0.5</v>
      </c>
      <c r="R10" s="7">
        <f>AVERAGE(J24:J26)</f>
        <v>0.28348000555995828</v>
      </c>
      <c r="S10" s="7">
        <f>STDEV(J24:J26)</f>
        <v>9.7303868734734799E-3</v>
      </c>
    </row>
    <row r="11" spans="1:19" ht="15.6" x14ac:dyDescent="0.3">
      <c r="A11" t="s">
        <v>4</v>
      </c>
      <c r="B11">
        <v>2001</v>
      </c>
      <c r="C11">
        <v>3</v>
      </c>
      <c r="D11">
        <v>0</v>
      </c>
      <c r="E11">
        <v>0</v>
      </c>
      <c r="F11">
        <v>120.75</v>
      </c>
      <c r="M11" s="3">
        <v>1</v>
      </c>
      <c r="N11" s="5">
        <f>AVERAGE(K36:K38)</f>
        <v>2.0339850669501409</v>
      </c>
      <c r="O11" s="5">
        <f>STDEV(K36:K38)</f>
        <v>8.5566155095288657E-2</v>
      </c>
      <c r="Q11" s="3">
        <v>1</v>
      </c>
      <c r="R11" s="7">
        <f>AVERAGE(J37:J39)</f>
        <v>0.58252801327749026</v>
      </c>
      <c r="S11" s="7">
        <f>STDEV(J37:J39)</f>
        <v>2.7085216970953525E-2</v>
      </c>
    </row>
    <row r="12" spans="1:19" ht="15.6" x14ac:dyDescent="0.3">
      <c r="A12" t="s">
        <v>4</v>
      </c>
      <c r="B12">
        <v>16</v>
      </c>
      <c r="C12">
        <v>20</v>
      </c>
      <c r="D12">
        <v>2988524.8378906301</v>
      </c>
      <c r="E12">
        <v>0</v>
      </c>
      <c r="F12">
        <v>135.74</v>
      </c>
      <c r="G12" t="s">
        <v>6</v>
      </c>
      <c r="H12">
        <v>0</v>
      </c>
      <c r="I12">
        <f t="shared" ref="I12:J14" si="1">D12/(C12+D12)</f>
        <v>0.99999330777984441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AVERAGE(K48:K50)</f>
        <v>2.7799345509239912</v>
      </c>
      <c r="O12" s="5">
        <f>STDEV(K48:K50)</f>
        <v>4.6953326621701055E-2</v>
      </c>
      <c r="Q12" s="3">
        <v>1.5</v>
      </c>
      <c r="R12" s="7">
        <f>AVERAGE(J49:J51)</f>
        <v>0.78501631773168201</v>
      </c>
      <c r="S12" s="7">
        <f>STDEV(J49:J51)</f>
        <v>1.8706663884629111E-2</v>
      </c>
    </row>
    <row r="13" spans="1:19" ht="15.6" x14ac:dyDescent="0.3">
      <c r="A13" t="s">
        <v>4</v>
      </c>
      <c r="B13">
        <v>16</v>
      </c>
      <c r="C13">
        <v>22</v>
      </c>
      <c r="D13">
        <v>3144256.9082031301</v>
      </c>
      <c r="E13">
        <v>0</v>
      </c>
      <c r="F13">
        <v>150.58000000000001</v>
      </c>
      <c r="G13" t="s">
        <v>6</v>
      </c>
      <c r="H13">
        <v>0</v>
      </c>
      <c r="I13">
        <f t="shared" si="1"/>
        <v>0.99999300316522732</v>
      </c>
      <c r="J13" s="6">
        <f t="shared" si="1"/>
        <v>0</v>
      </c>
      <c r="K13" s="2">
        <f>(J13*$N$3)/$N$2</f>
        <v>0</v>
      </c>
      <c r="M13" s="3">
        <v>3</v>
      </c>
      <c r="N13" s="5">
        <f>AVERAGE(K60:K62)</f>
        <v>3.3669623539967231</v>
      </c>
      <c r="O13" s="5">
        <f>STDEV(K60:K62)</f>
        <v>1.5994405852885485E-3</v>
      </c>
      <c r="Q13" s="3">
        <v>3</v>
      </c>
      <c r="R13" s="7">
        <f>AVERAGE(J61:J63)</f>
        <v>0.95046814526419277</v>
      </c>
      <c r="S13" s="7">
        <f>STDEV(J61:J63)</f>
        <v>2.6793875567235705E-4</v>
      </c>
    </row>
    <row r="14" spans="1:19" ht="15.6" x14ac:dyDescent="0.3">
      <c r="A14" t="s">
        <v>4</v>
      </c>
      <c r="B14">
        <v>16</v>
      </c>
      <c r="C14">
        <v>24</v>
      </c>
      <c r="D14">
        <v>2331603.59765625</v>
      </c>
      <c r="E14">
        <v>0</v>
      </c>
      <c r="F14">
        <v>165.54</v>
      </c>
      <c r="G14" t="s">
        <v>6</v>
      </c>
      <c r="H14">
        <v>0</v>
      </c>
      <c r="I14">
        <f t="shared" si="1"/>
        <v>0.99998970676105214</v>
      </c>
      <c r="J14" s="6">
        <f t="shared" si="1"/>
        <v>0</v>
      </c>
      <c r="K14" s="2">
        <f>(J14*$N$3)/$N$2</f>
        <v>0</v>
      </c>
      <c r="M14" s="3">
        <v>5</v>
      </c>
      <c r="N14" s="5">
        <f>AVERAGE(K72:K74)</f>
        <v>3.3964990719750703</v>
      </c>
      <c r="O14" s="5">
        <f>STDEV(K72:K74)</f>
        <v>2.8531517950786929E-3</v>
      </c>
      <c r="Q14" s="3">
        <v>5</v>
      </c>
      <c r="R14" s="7">
        <f>AVERAGE(J73:J75)</f>
        <v>0.95880265787193375</v>
      </c>
      <c r="S14" s="7">
        <f>STDEV(J73:J75)</f>
        <v>9.8235282527222765E-4</v>
      </c>
    </row>
    <row r="15" spans="1:19" ht="15.6" x14ac:dyDescent="0.3">
      <c r="A15" t="s">
        <v>4</v>
      </c>
      <c r="B15">
        <v>2001</v>
      </c>
      <c r="C15">
        <v>2</v>
      </c>
      <c r="D15">
        <v>0</v>
      </c>
      <c r="E15">
        <v>0</v>
      </c>
      <c r="F15">
        <v>180.02</v>
      </c>
      <c r="M15" s="3">
        <v>10</v>
      </c>
      <c r="N15" s="5">
        <f>AVERAGE(K84:K86)</f>
        <v>3.4128163877795941</v>
      </c>
      <c r="O15" s="5">
        <f>STDEV(K84:K86)</f>
        <v>2.7699186953322855E-2</v>
      </c>
      <c r="Q15" s="3">
        <v>10</v>
      </c>
      <c r="R15" s="7">
        <f>AVERAGE(J85:J87)</f>
        <v>0.96625231152730451</v>
      </c>
      <c r="S15" s="7">
        <f>STDEV(J85:J87)</f>
        <v>8.081729998657302E-3</v>
      </c>
    </row>
    <row r="16" spans="1:19" ht="15.6" x14ac:dyDescent="0.3">
      <c r="A16" t="s">
        <v>4</v>
      </c>
      <c r="B16">
        <v>2001</v>
      </c>
      <c r="C16">
        <v>3</v>
      </c>
      <c r="D16">
        <v>0</v>
      </c>
      <c r="E16">
        <v>0</v>
      </c>
      <c r="F16">
        <v>193.72</v>
      </c>
      <c r="M16" s="3">
        <v>20</v>
      </c>
      <c r="N16" s="5">
        <f>AVERAGE(K96:K98)</f>
        <v>3.4036732732589989</v>
      </c>
      <c r="O16" s="5">
        <f>STDEV(K96:K98)</f>
        <v>5.7793641604143185E-3</v>
      </c>
      <c r="Q16" s="3">
        <v>20</v>
      </c>
      <c r="R16" s="7">
        <f>AVERAGE(J97:J99)</f>
        <v>0.95974952928427437</v>
      </c>
      <c r="S16" s="7">
        <f>STDEV(J97:J99)</f>
        <v>1.0294802286016417E-3</v>
      </c>
    </row>
    <row r="17" spans="1:19" ht="15.6" x14ac:dyDescent="0.3">
      <c r="A17" t="s">
        <v>4</v>
      </c>
      <c r="B17">
        <v>2001</v>
      </c>
      <c r="C17">
        <v>2</v>
      </c>
      <c r="D17">
        <v>0</v>
      </c>
      <c r="E17">
        <v>0</v>
      </c>
      <c r="F17">
        <v>208.16</v>
      </c>
      <c r="M17" s="3">
        <v>40</v>
      </c>
      <c r="N17" s="5">
        <f>AVERAGE(K112:K114)</f>
        <v>3.4112740201725962</v>
      </c>
      <c r="O17" s="5">
        <f>STDEV(K112:K114)</f>
        <v>5.29544854017556E-3</v>
      </c>
      <c r="Q17" s="3">
        <v>40</v>
      </c>
      <c r="R17" s="7">
        <f>AVERAGE(J113:J115)</f>
        <v>0.96212490321056776</v>
      </c>
      <c r="S17" s="7">
        <f>STDEV(J113:J115)</f>
        <v>1.4888206970317416E-3</v>
      </c>
    </row>
    <row r="18" spans="1:19" ht="15.6" x14ac:dyDescent="0.3">
      <c r="A18" t="s">
        <v>4</v>
      </c>
      <c r="B18">
        <v>2001</v>
      </c>
      <c r="C18">
        <v>3</v>
      </c>
      <c r="D18">
        <v>0</v>
      </c>
      <c r="E18">
        <v>0</v>
      </c>
      <c r="F18">
        <v>222.38</v>
      </c>
      <c r="M18" s="3">
        <v>60</v>
      </c>
      <c r="N18" s="5">
        <f>AVERAGE(K126:K128)</f>
        <v>3.4166320698867341</v>
      </c>
      <c r="O18" s="5">
        <f>STDEV(K126:K128)</f>
        <v>2.8150162655714368E-3</v>
      </c>
      <c r="Q18" s="3">
        <v>60</v>
      </c>
      <c r="R18" s="7">
        <f>AVERAGE(J127:J129)</f>
        <v>0.96440382948827508</v>
      </c>
      <c r="S18" s="7">
        <f>STDEV(J127:J129)</f>
        <v>1.058026256154814E-3</v>
      </c>
    </row>
    <row r="19" spans="1:19" ht="15.6" x14ac:dyDescent="0.3">
      <c r="A19" t="s">
        <v>4</v>
      </c>
      <c r="B19">
        <v>15</v>
      </c>
      <c r="C19">
        <v>14</v>
      </c>
      <c r="D19">
        <v>1226560.2421875</v>
      </c>
      <c r="E19">
        <v>0</v>
      </c>
      <c r="F19">
        <v>237.2</v>
      </c>
      <c r="G19" t="s">
        <v>7</v>
      </c>
      <c r="H19">
        <v>0.5</v>
      </c>
      <c r="I19">
        <f t="shared" ref="I19:J21" si="2">D19/(C19+D19)</f>
        <v>0.9999885860965293</v>
      </c>
      <c r="J19" s="6">
        <f t="shared" si="2"/>
        <v>0</v>
      </c>
      <c r="K19" s="2">
        <f>(J19*$N$3)/$N$2</f>
        <v>0</v>
      </c>
      <c r="M19" s="3">
        <v>90</v>
      </c>
      <c r="N19" s="5">
        <f>AVERAGE(K140:K142)</f>
        <v>3.436769193325631</v>
      </c>
      <c r="O19" s="5">
        <f>STDEV(K140:K142)</f>
        <v>3.3223854935682834E-2</v>
      </c>
      <c r="Q19" s="3">
        <v>90</v>
      </c>
      <c r="R19" s="7">
        <f>AVERAGE(J141:J143)</f>
        <v>0.96452293075675954</v>
      </c>
      <c r="S19" s="7">
        <f>STDEV(J141:J143)</f>
        <v>4.9822280379099241E-4</v>
      </c>
    </row>
    <row r="20" spans="1:19" ht="15.6" x14ac:dyDescent="0.3">
      <c r="A20" t="s">
        <v>4</v>
      </c>
      <c r="B20">
        <v>15</v>
      </c>
      <c r="C20">
        <v>16</v>
      </c>
      <c r="D20">
        <v>1001263.81054688</v>
      </c>
      <c r="E20">
        <v>0</v>
      </c>
      <c r="F20">
        <v>252.18</v>
      </c>
      <c r="G20" t="s">
        <v>7</v>
      </c>
      <c r="H20">
        <v>0.5</v>
      </c>
      <c r="I20">
        <f t="shared" si="2"/>
        <v>0.9999840204507956</v>
      </c>
      <c r="J20" s="6">
        <f t="shared" si="2"/>
        <v>0</v>
      </c>
      <c r="K20" s="2">
        <f>(J20*$N$3)/$N$2</f>
        <v>0</v>
      </c>
      <c r="M20" s="3">
        <v>120</v>
      </c>
      <c r="N20" s="5">
        <f>AVERAGE(K154:K156)</f>
        <v>3.4315839570704312</v>
      </c>
      <c r="O20" s="5">
        <f>STDEV(K154:K156)</f>
        <v>3.1070722756552874E-3</v>
      </c>
      <c r="Q20" s="3">
        <v>120</v>
      </c>
      <c r="R20" s="7">
        <f>AVERAGE(J155:J157)</f>
        <v>0.96798023448358872</v>
      </c>
      <c r="S20" s="7">
        <f>STDEV(J155:J157)</f>
        <v>3.209927976400363E-4</v>
      </c>
    </row>
    <row r="21" spans="1:19" x14ac:dyDescent="0.3">
      <c r="A21" t="s">
        <v>4</v>
      </c>
      <c r="B21">
        <v>15</v>
      </c>
      <c r="C21">
        <v>18</v>
      </c>
      <c r="D21">
        <v>1898596.29052734</v>
      </c>
      <c r="E21">
        <v>0</v>
      </c>
      <c r="F21">
        <v>267.05</v>
      </c>
      <c r="G21" t="s">
        <v>7</v>
      </c>
      <c r="H21">
        <v>0.5</v>
      </c>
      <c r="I21">
        <f t="shared" si="2"/>
        <v>0.99999051940139194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4</v>
      </c>
      <c r="B22">
        <v>2001</v>
      </c>
      <c r="C22">
        <v>2</v>
      </c>
      <c r="D22">
        <v>0</v>
      </c>
      <c r="E22">
        <v>0</v>
      </c>
      <c r="F22">
        <v>281.54000000000002</v>
      </c>
    </row>
    <row r="23" spans="1:19" x14ac:dyDescent="0.3">
      <c r="A23" t="s">
        <v>4</v>
      </c>
      <c r="B23">
        <v>2001</v>
      </c>
      <c r="C23">
        <v>3</v>
      </c>
      <c r="D23">
        <v>0</v>
      </c>
      <c r="E23">
        <v>0</v>
      </c>
      <c r="F23">
        <v>295.73</v>
      </c>
    </row>
    <row r="24" spans="1:19" x14ac:dyDescent="0.3">
      <c r="A24" t="s">
        <v>4</v>
      </c>
      <c r="B24">
        <v>15</v>
      </c>
      <c r="C24">
        <v>20</v>
      </c>
      <c r="D24">
        <v>2092525.3886718799</v>
      </c>
      <c r="E24">
        <v>840603.40283203102</v>
      </c>
      <c r="F24">
        <v>310.58999999999997</v>
      </c>
      <c r="G24" t="s">
        <v>6</v>
      </c>
      <c r="H24">
        <v>0.5</v>
      </c>
      <c r="I24">
        <f t="shared" ref="I24:J26" si="3">D24/(C24+D24)</f>
        <v>0.99999044226227618</v>
      </c>
      <c r="J24" s="6">
        <f t="shared" si="3"/>
        <v>0.2865893257967122</v>
      </c>
      <c r="K24" s="2">
        <f>(J24*$N$3)/$N$2</f>
        <v>1.0154739890434683</v>
      </c>
    </row>
    <row r="25" spans="1:19" x14ac:dyDescent="0.3">
      <c r="A25" t="s">
        <v>4</v>
      </c>
      <c r="B25">
        <v>15</v>
      </c>
      <c r="C25">
        <v>22</v>
      </c>
      <c r="D25">
        <v>2959603.89453125</v>
      </c>
      <c r="E25">
        <v>1108999.4277343799</v>
      </c>
      <c r="F25">
        <v>325.55</v>
      </c>
      <c r="G25" t="s">
        <v>6</v>
      </c>
      <c r="H25">
        <v>0.5</v>
      </c>
      <c r="I25">
        <f t="shared" si="3"/>
        <v>0.99999256662808611</v>
      </c>
      <c r="J25" s="6">
        <f t="shared" si="3"/>
        <v>0.27257496980974444</v>
      </c>
      <c r="K25" s="2">
        <f>(J25*$N$3)/$N$2</f>
        <v>0.96581682216051168</v>
      </c>
    </row>
    <row r="26" spans="1:19" x14ac:dyDescent="0.3">
      <c r="A26" t="s">
        <v>4</v>
      </c>
      <c r="B26">
        <v>15</v>
      </c>
      <c r="C26">
        <v>24</v>
      </c>
      <c r="D26">
        <v>1619304.2817382801</v>
      </c>
      <c r="E26">
        <v>665511.30859375</v>
      </c>
      <c r="F26">
        <v>340.49</v>
      </c>
      <c r="G26" t="s">
        <v>6</v>
      </c>
      <c r="H26">
        <v>0.5</v>
      </c>
      <c r="I26">
        <f t="shared" si="3"/>
        <v>0.99998517903980888</v>
      </c>
      <c r="J26" s="6">
        <f t="shared" si="3"/>
        <v>0.29127572107341826</v>
      </c>
      <c r="K26" s="2">
        <f>(J26*$N$3)/$N$2</f>
        <v>1.0320793266380959</v>
      </c>
    </row>
    <row r="27" spans="1:19" x14ac:dyDescent="0.3">
      <c r="A27" t="s">
        <v>4</v>
      </c>
      <c r="B27">
        <v>2001</v>
      </c>
      <c r="C27">
        <v>2</v>
      </c>
      <c r="D27">
        <v>0</v>
      </c>
      <c r="E27">
        <v>0</v>
      </c>
      <c r="F27">
        <v>354.8</v>
      </c>
    </row>
    <row r="28" spans="1:19" x14ac:dyDescent="0.3">
      <c r="A28" t="s">
        <v>4</v>
      </c>
      <c r="B28">
        <v>2001</v>
      </c>
      <c r="C28">
        <v>3</v>
      </c>
      <c r="D28">
        <v>0</v>
      </c>
      <c r="E28">
        <v>0</v>
      </c>
      <c r="F28">
        <v>369.11</v>
      </c>
    </row>
    <row r="29" spans="1:19" x14ac:dyDescent="0.3">
      <c r="A29" t="s">
        <v>4</v>
      </c>
      <c r="B29">
        <v>2001</v>
      </c>
      <c r="C29">
        <v>2</v>
      </c>
      <c r="D29">
        <v>0</v>
      </c>
      <c r="E29">
        <v>0</v>
      </c>
      <c r="F29">
        <v>383.41</v>
      </c>
    </row>
    <row r="30" spans="1:19" x14ac:dyDescent="0.3">
      <c r="A30" t="s">
        <v>4</v>
      </c>
      <c r="B30">
        <v>2001</v>
      </c>
      <c r="C30">
        <v>3</v>
      </c>
      <c r="D30">
        <v>0</v>
      </c>
      <c r="E30">
        <v>0</v>
      </c>
      <c r="F30">
        <v>397.73</v>
      </c>
    </row>
    <row r="31" spans="1:19" x14ac:dyDescent="0.3">
      <c r="A31" t="s">
        <v>4</v>
      </c>
      <c r="B31">
        <v>14</v>
      </c>
      <c r="C31">
        <v>14</v>
      </c>
      <c r="D31">
        <v>4683559.5458984403</v>
      </c>
      <c r="E31">
        <v>0</v>
      </c>
      <c r="F31">
        <v>412.55</v>
      </c>
      <c r="G31" t="s">
        <v>7</v>
      </c>
      <c r="H31">
        <v>1</v>
      </c>
      <c r="I31">
        <f t="shared" ref="I31:J33" si="4">D31/(C31+D31)</f>
        <v>0.9999970108294739</v>
      </c>
      <c r="J31" s="6">
        <f t="shared" si="4"/>
        <v>0</v>
      </c>
      <c r="K31" s="2">
        <f>(J31*$N$3)/$N$2</f>
        <v>0</v>
      </c>
    </row>
    <row r="32" spans="1:19" x14ac:dyDescent="0.3">
      <c r="A32" t="s">
        <v>4</v>
      </c>
      <c r="B32">
        <v>14</v>
      </c>
      <c r="C32">
        <v>16</v>
      </c>
      <c r="D32">
        <v>5435850.7333984403</v>
      </c>
      <c r="E32">
        <v>0</v>
      </c>
      <c r="F32">
        <v>427.49</v>
      </c>
      <c r="G32" t="s">
        <v>7</v>
      </c>
      <c r="H32">
        <v>1</v>
      </c>
      <c r="I32">
        <f t="shared" si="4"/>
        <v>0.99999705658714888</v>
      </c>
      <c r="J32" s="6">
        <f t="shared" si="4"/>
        <v>0</v>
      </c>
      <c r="K32" s="2">
        <f>(J32*$N$3)/$N$2</f>
        <v>0</v>
      </c>
    </row>
    <row r="33" spans="1:11" x14ac:dyDescent="0.3">
      <c r="A33" t="s">
        <v>4</v>
      </c>
      <c r="B33">
        <v>14</v>
      </c>
      <c r="C33">
        <v>18</v>
      </c>
      <c r="D33">
        <v>4505791.3535156297</v>
      </c>
      <c r="E33">
        <v>0</v>
      </c>
      <c r="F33">
        <v>442.34</v>
      </c>
      <c r="G33" t="s">
        <v>7</v>
      </c>
      <c r="H33">
        <v>1</v>
      </c>
      <c r="I33">
        <f t="shared" si="4"/>
        <v>0.99999600515721199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4</v>
      </c>
      <c r="B34">
        <v>2001</v>
      </c>
      <c r="C34">
        <v>2</v>
      </c>
      <c r="D34">
        <v>0</v>
      </c>
      <c r="E34">
        <v>0</v>
      </c>
      <c r="F34">
        <v>456.78</v>
      </c>
    </row>
    <row r="35" spans="1:11" x14ac:dyDescent="0.3">
      <c r="A35" t="s">
        <v>4</v>
      </c>
      <c r="B35">
        <v>2001</v>
      </c>
      <c r="C35">
        <v>3</v>
      </c>
      <c r="D35">
        <v>0</v>
      </c>
      <c r="E35">
        <v>0</v>
      </c>
      <c r="F35">
        <v>470.94</v>
      </c>
    </row>
    <row r="36" spans="1:11" x14ac:dyDescent="0.3">
      <c r="A36" t="s">
        <v>4</v>
      </c>
      <c r="B36">
        <v>14</v>
      </c>
      <c r="C36">
        <v>20</v>
      </c>
      <c r="D36">
        <v>2083337.9746093799</v>
      </c>
      <c r="E36">
        <v>2620001.5234375</v>
      </c>
      <c r="F36">
        <v>485.8</v>
      </c>
      <c r="G36" t="s">
        <v>6</v>
      </c>
      <c r="H36">
        <v>1</v>
      </c>
      <c r="I36">
        <f t="shared" ref="I36:J38" si="5">D36/(C36+D36)</f>
        <v>0.99999040011354567</v>
      </c>
      <c r="J36" s="6">
        <f t="shared" si="5"/>
        <v>0.5570513301294725</v>
      </c>
      <c r="K36" s="2">
        <f>(J36*$N$3)/$N$2</f>
        <v>1.9738039256556108</v>
      </c>
    </row>
    <row r="37" spans="1:11" x14ac:dyDescent="0.3">
      <c r="A37" t="s">
        <v>4</v>
      </c>
      <c r="B37">
        <v>14</v>
      </c>
      <c r="C37">
        <v>22</v>
      </c>
      <c r="D37">
        <v>1930828.80078125</v>
      </c>
      <c r="E37">
        <v>2491347.3457031301</v>
      </c>
      <c r="F37">
        <v>500.81</v>
      </c>
      <c r="G37" t="s">
        <v>6</v>
      </c>
      <c r="H37">
        <v>1</v>
      </c>
      <c r="I37">
        <f t="shared" si="5"/>
        <v>0.99998860605905382</v>
      </c>
      <c r="J37" s="6">
        <f t="shared" si="5"/>
        <v>0.56337587268742007</v>
      </c>
      <c r="K37" s="2">
        <f>(J37*$N$3)/$N$2</f>
        <v>1.9962137221207796</v>
      </c>
    </row>
    <row r="38" spans="1:11" x14ac:dyDescent="0.3">
      <c r="A38" t="s">
        <v>4</v>
      </c>
      <c r="B38">
        <v>14</v>
      </c>
      <c r="C38">
        <v>24</v>
      </c>
      <c r="D38">
        <v>1144101.0634765599</v>
      </c>
      <c r="E38">
        <v>1728216.43359375</v>
      </c>
      <c r="F38">
        <v>515.66999999999996</v>
      </c>
      <c r="G38" t="s">
        <v>6</v>
      </c>
      <c r="H38">
        <v>1</v>
      </c>
      <c r="I38">
        <f t="shared" si="5"/>
        <v>0.99997902327222243</v>
      </c>
      <c r="J38" s="6">
        <f t="shared" si="5"/>
        <v>0.60168015386756046</v>
      </c>
      <c r="K38" s="2">
        <f>(J38*$N$3)/$N$2</f>
        <v>2.131937553074033</v>
      </c>
    </row>
    <row r="39" spans="1:11" x14ac:dyDescent="0.3">
      <c r="A39" t="s">
        <v>4</v>
      </c>
      <c r="B39">
        <v>2001</v>
      </c>
      <c r="C39">
        <v>2</v>
      </c>
      <c r="D39">
        <v>0</v>
      </c>
      <c r="E39">
        <v>0</v>
      </c>
      <c r="F39">
        <v>530.11</v>
      </c>
    </row>
    <row r="40" spans="1:11" x14ac:dyDescent="0.3">
      <c r="A40" t="s">
        <v>4</v>
      </c>
      <c r="B40">
        <v>2001</v>
      </c>
      <c r="C40">
        <v>3</v>
      </c>
      <c r="D40">
        <v>0</v>
      </c>
      <c r="E40">
        <v>0</v>
      </c>
      <c r="F40">
        <v>544.27</v>
      </c>
    </row>
    <row r="41" spans="1:11" x14ac:dyDescent="0.3">
      <c r="A41" t="s">
        <v>4</v>
      </c>
      <c r="B41">
        <v>2001</v>
      </c>
      <c r="C41">
        <v>2</v>
      </c>
      <c r="D41">
        <v>0</v>
      </c>
      <c r="E41">
        <v>0</v>
      </c>
      <c r="F41">
        <v>558.71</v>
      </c>
    </row>
    <row r="42" spans="1:11" x14ac:dyDescent="0.3">
      <c r="A42" t="s">
        <v>4</v>
      </c>
      <c r="B42">
        <v>2001</v>
      </c>
      <c r="C42">
        <v>3</v>
      </c>
      <c r="D42">
        <v>0</v>
      </c>
      <c r="E42">
        <v>0</v>
      </c>
      <c r="F42">
        <v>572.91999999999996</v>
      </c>
    </row>
    <row r="43" spans="1:11" x14ac:dyDescent="0.3">
      <c r="A43" t="s">
        <v>4</v>
      </c>
      <c r="B43">
        <v>13</v>
      </c>
      <c r="C43">
        <v>14</v>
      </c>
      <c r="D43">
        <v>5581512.47802734</v>
      </c>
      <c r="E43">
        <v>0</v>
      </c>
      <c r="F43">
        <v>587.77</v>
      </c>
      <c r="G43" t="s">
        <v>7</v>
      </c>
      <c r="H43">
        <v>1.5</v>
      </c>
      <c r="I43">
        <f t="shared" ref="I43:J45" si="6">D43/(C43+D43)</f>
        <v>0.99999749172559604</v>
      </c>
      <c r="J43" s="6">
        <f t="shared" si="6"/>
        <v>0</v>
      </c>
      <c r="K43" s="2">
        <f>(J43*$N$3)/$N$2</f>
        <v>0</v>
      </c>
    </row>
    <row r="44" spans="1:11" x14ac:dyDescent="0.3">
      <c r="A44" t="s">
        <v>4</v>
      </c>
      <c r="B44">
        <v>13</v>
      </c>
      <c r="C44">
        <v>16</v>
      </c>
      <c r="D44">
        <v>961080.17089843797</v>
      </c>
      <c r="E44">
        <v>0</v>
      </c>
      <c r="F44">
        <v>602.67999999999995</v>
      </c>
      <c r="G44" t="s">
        <v>7</v>
      </c>
      <c r="H44">
        <v>1.5</v>
      </c>
      <c r="I44">
        <f t="shared" si="6"/>
        <v>0.99998335234237268</v>
      </c>
      <c r="J44" s="6">
        <f t="shared" si="6"/>
        <v>0</v>
      </c>
      <c r="K44" s="2">
        <f>(J44*$N$3)/$N$2</f>
        <v>0</v>
      </c>
    </row>
    <row r="45" spans="1:11" x14ac:dyDescent="0.3">
      <c r="A45" t="s">
        <v>4</v>
      </c>
      <c r="B45">
        <v>13</v>
      </c>
      <c r="C45">
        <v>18</v>
      </c>
      <c r="D45">
        <v>1128305.046875</v>
      </c>
      <c r="E45">
        <v>0</v>
      </c>
      <c r="F45">
        <v>617.66</v>
      </c>
      <c r="G45" t="s">
        <v>7</v>
      </c>
      <c r="H45">
        <v>1.5</v>
      </c>
      <c r="I45">
        <f t="shared" si="6"/>
        <v>0.99998404712192146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4</v>
      </c>
      <c r="B46">
        <v>2001</v>
      </c>
      <c r="C46">
        <v>2</v>
      </c>
      <c r="D46">
        <v>0</v>
      </c>
      <c r="E46">
        <v>0</v>
      </c>
      <c r="F46">
        <v>631.99</v>
      </c>
    </row>
    <row r="47" spans="1:11" x14ac:dyDescent="0.3">
      <c r="A47" t="s">
        <v>4</v>
      </c>
      <c r="B47">
        <v>2001</v>
      </c>
      <c r="C47">
        <v>3</v>
      </c>
      <c r="D47">
        <v>0</v>
      </c>
      <c r="E47">
        <v>0</v>
      </c>
      <c r="F47">
        <v>646.15</v>
      </c>
    </row>
    <row r="48" spans="1:11" x14ac:dyDescent="0.3">
      <c r="A48" t="s">
        <v>4</v>
      </c>
      <c r="B48">
        <v>13</v>
      </c>
      <c r="C48">
        <v>20</v>
      </c>
      <c r="D48">
        <v>926132.1875</v>
      </c>
      <c r="E48">
        <v>3354487.18603516</v>
      </c>
      <c r="F48">
        <v>661.13</v>
      </c>
      <c r="G48" t="s">
        <v>6</v>
      </c>
      <c r="H48">
        <v>1.5</v>
      </c>
      <c r="I48">
        <f t="shared" ref="I48:J50" si="7">D48/(C48+D48)</f>
        <v>0.99997840527694049</v>
      </c>
      <c r="J48" s="6">
        <f t="shared" si="7"/>
        <v>0.78364528431894853</v>
      </c>
      <c r="K48" s="2">
        <f>(J48*$N$3)/$N$2</f>
        <v>2.7766958893191087</v>
      </c>
    </row>
    <row r="49" spans="1:11" x14ac:dyDescent="0.3">
      <c r="A49" t="s">
        <v>4</v>
      </c>
      <c r="B49">
        <v>13</v>
      </c>
      <c r="C49">
        <v>22</v>
      </c>
      <c r="D49">
        <v>982838.05078125</v>
      </c>
      <c r="E49">
        <v>3323864.06640625</v>
      </c>
      <c r="F49">
        <v>675.96</v>
      </c>
      <c r="G49" t="s">
        <v>6</v>
      </c>
      <c r="H49">
        <v>1.5</v>
      </c>
      <c r="I49">
        <f t="shared" si="7"/>
        <v>0.99997761634529503</v>
      </c>
      <c r="J49" s="6">
        <f t="shared" si="7"/>
        <v>0.77178870884548334</v>
      </c>
      <c r="K49" s="2">
        <f>(J49*$N$3)/$N$2</f>
        <v>2.7346844014210037</v>
      </c>
    </row>
    <row r="50" spans="1:11" x14ac:dyDescent="0.3">
      <c r="A50" t="s">
        <v>4</v>
      </c>
      <c r="B50">
        <v>13</v>
      </c>
      <c r="C50">
        <v>24</v>
      </c>
      <c r="D50">
        <v>779293.82421875</v>
      </c>
      <c r="E50">
        <v>3083260.6513671898</v>
      </c>
      <c r="F50">
        <v>690.93</v>
      </c>
      <c r="G50" t="s">
        <v>6</v>
      </c>
      <c r="H50">
        <v>1.5</v>
      </c>
      <c r="I50">
        <f t="shared" si="7"/>
        <v>0.99996920383538768</v>
      </c>
      <c r="J50" s="6">
        <f t="shared" si="7"/>
        <v>0.79824392661788079</v>
      </c>
      <c r="K50" s="2">
        <f>(J50*$N$3)/$N$2</f>
        <v>2.8284233620318604</v>
      </c>
    </row>
    <row r="51" spans="1:11" x14ac:dyDescent="0.3">
      <c r="A51" t="s">
        <v>4</v>
      </c>
      <c r="B51">
        <v>2001</v>
      </c>
      <c r="C51">
        <v>2</v>
      </c>
      <c r="D51">
        <v>0</v>
      </c>
      <c r="E51">
        <v>0</v>
      </c>
      <c r="F51">
        <v>705.27</v>
      </c>
    </row>
    <row r="52" spans="1:11" x14ac:dyDescent="0.3">
      <c r="A52" t="s">
        <v>4</v>
      </c>
      <c r="B52">
        <v>2001</v>
      </c>
      <c r="C52">
        <v>3</v>
      </c>
      <c r="D52">
        <v>0</v>
      </c>
      <c r="E52">
        <v>0</v>
      </c>
      <c r="F52">
        <v>719.51</v>
      </c>
    </row>
    <row r="53" spans="1:11" x14ac:dyDescent="0.3">
      <c r="A53" t="s">
        <v>4</v>
      </c>
      <c r="B53">
        <v>2001</v>
      </c>
      <c r="C53">
        <v>2</v>
      </c>
      <c r="D53">
        <v>0</v>
      </c>
      <c r="E53">
        <v>0</v>
      </c>
      <c r="F53">
        <v>733.86</v>
      </c>
    </row>
    <row r="54" spans="1:11" x14ac:dyDescent="0.3">
      <c r="A54" t="s">
        <v>4</v>
      </c>
      <c r="B54">
        <v>2001</v>
      </c>
      <c r="C54">
        <v>3</v>
      </c>
      <c r="D54">
        <v>0</v>
      </c>
      <c r="E54">
        <v>0</v>
      </c>
      <c r="F54">
        <v>748.07</v>
      </c>
    </row>
    <row r="55" spans="1:11" x14ac:dyDescent="0.3">
      <c r="A55" t="s">
        <v>4</v>
      </c>
      <c r="B55">
        <v>12</v>
      </c>
      <c r="C55">
        <v>14</v>
      </c>
      <c r="D55">
        <v>5956591.4121093797</v>
      </c>
      <c r="E55">
        <v>0</v>
      </c>
      <c r="F55">
        <v>762.94</v>
      </c>
      <c r="G55" t="s">
        <v>7</v>
      </c>
      <c r="H55">
        <v>3</v>
      </c>
      <c r="I55">
        <f t="shared" ref="I55:J57" si="8">D55/(C55+D55)</f>
        <v>0.99999764966805227</v>
      </c>
      <c r="J55" s="6">
        <f t="shared" si="8"/>
        <v>0</v>
      </c>
      <c r="K55" s="2">
        <f>(J55*$N$3)/$N$2</f>
        <v>0</v>
      </c>
    </row>
    <row r="56" spans="1:11" x14ac:dyDescent="0.3">
      <c r="A56" t="s">
        <v>4</v>
      </c>
      <c r="B56">
        <v>12</v>
      </c>
      <c r="C56">
        <v>16</v>
      </c>
      <c r="D56">
        <v>979670.048828125</v>
      </c>
      <c r="E56">
        <v>0</v>
      </c>
      <c r="F56">
        <v>777.98</v>
      </c>
      <c r="G56" t="s">
        <v>7</v>
      </c>
      <c r="H56">
        <v>3</v>
      </c>
      <c r="I56">
        <f t="shared" si="8"/>
        <v>0.99998366823737139</v>
      </c>
      <c r="J56" s="6">
        <f t="shared" si="8"/>
        <v>0</v>
      </c>
      <c r="K56" s="2">
        <f>(J56*$N$3)/$N$2</f>
        <v>0</v>
      </c>
    </row>
    <row r="57" spans="1:11" x14ac:dyDescent="0.3">
      <c r="A57" t="s">
        <v>4</v>
      </c>
      <c r="B57">
        <v>12</v>
      </c>
      <c r="C57">
        <v>18</v>
      </c>
      <c r="D57">
        <v>1900403.6503906299</v>
      </c>
      <c r="E57">
        <v>0</v>
      </c>
      <c r="F57">
        <v>792.84</v>
      </c>
      <c r="G57" t="s">
        <v>7</v>
      </c>
      <c r="H57">
        <v>3</v>
      </c>
      <c r="I57">
        <f t="shared" si="8"/>
        <v>0.99999052841773495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4</v>
      </c>
      <c r="B58">
        <v>2001</v>
      </c>
      <c r="C58">
        <v>2</v>
      </c>
      <c r="D58">
        <v>0</v>
      </c>
      <c r="E58">
        <v>0</v>
      </c>
      <c r="F58">
        <v>807.3</v>
      </c>
    </row>
    <row r="59" spans="1:11" x14ac:dyDescent="0.3">
      <c r="A59" t="s">
        <v>4</v>
      </c>
      <c r="B59">
        <v>2001</v>
      </c>
      <c r="C59">
        <v>3</v>
      </c>
      <c r="D59">
        <v>0</v>
      </c>
      <c r="E59">
        <v>0</v>
      </c>
      <c r="F59">
        <v>821.37</v>
      </c>
    </row>
    <row r="60" spans="1:11" x14ac:dyDescent="0.3">
      <c r="A60" t="s">
        <v>4</v>
      </c>
      <c r="B60">
        <v>12</v>
      </c>
      <c r="C60">
        <v>20</v>
      </c>
      <c r="D60">
        <v>208653.6171875</v>
      </c>
      <c r="E60">
        <v>3944359.8808593801</v>
      </c>
      <c r="F60">
        <v>836.35</v>
      </c>
      <c r="G60" t="s">
        <v>6</v>
      </c>
      <c r="H60">
        <v>3</v>
      </c>
      <c r="I60">
        <f t="shared" ref="I60:J62" si="9">D60/(C60+D60)</f>
        <v>0.99990415654710185</v>
      </c>
      <c r="J60" s="6">
        <f t="shared" si="9"/>
        <v>0.94975850252217386</v>
      </c>
      <c r="K60" s="2">
        <f>(J60*$N$3)/$N$2</f>
        <v>3.3652860325588834</v>
      </c>
    </row>
    <row r="61" spans="1:11" x14ac:dyDescent="0.3">
      <c r="A61" t="s">
        <v>4</v>
      </c>
      <c r="B61">
        <v>12</v>
      </c>
      <c r="C61">
        <v>22</v>
      </c>
      <c r="D61">
        <v>207436.068359375</v>
      </c>
      <c r="E61">
        <v>3964538.5463867201</v>
      </c>
      <c r="F61">
        <v>851.19</v>
      </c>
      <c r="G61" t="s">
        <v>6</v>
      </c>
      <c r="H61">
        <v>3</v>
      </c>
      <c r="I61">
        <f t="shared" si="9"/>
        <v>0.99989395447391383</v>
      </c>
      <c r="J61" s="6">
        <f t="shared" si="9"/>
        <v>0.95027868395311421</v>
      </c>
      <c r="K61" s="2">
        <f>(J61*$N$3)/$N$2</f>
        <v>3.3671291951094591</v>
      </c>
    </row>
    <row r="62" spans="1:11" x14ac:dyDescent="0.3">
      <c r="A62" t="s">
        <v>4</v>
      </c>
      <c r="B62">
        <v>12</v>
      </c>
      <c r="C62">
        <v>24</v>
      </c>
      <c r="D62">
        <v>188647.43896484401</v>
      </c>
      <c r="E62">
        <v>3634584.99609375</v>
      </c>
      <c r="F62">
        <v>866.17</v>
      </c>
      <c r="G62" t="s">
        <v>6</v>
      </c>
      <c r="H62">
        <v>3</v>
      </c>
      <c r="I62">
        <f t="shared" si="9"/>
        <v>0.9998727947370748</v>
      </c>
      <c r="J62" s="6">
        <f t="shared" si="9"/>
        <v>0.95065760657527143</v>
      </c>
      <c r="K62" s="2">
        <f>(J62*$N$3)/$N$2</f>
        <v>3.3684718343218272</v>
      </c>
    </row>
    <row r="63" spans="1:11" x14ac:dyDescent="0.3">
      <c r="A63" t="s">
        <v>4</v>
      </c>
      <c r="B63">
        <v>2001</v>
      </c>
      <c r="C63">
        <v>2</v>
      </c>
      <c r="D63">
        <v>0</v>
      </c>
      <c r="E63">
        <v>0</v>
      </c>
      <c r="F63">
        <v>880.52</v>
      </c>
    </row>
    <row r="64" spans="1:11" x14ac:dyDescent="0.3">
      <c r="A64" t="s">
        <v>4</v>
      </c>
      <c r="B64">
        <v>2001</v>
      </c>
      <c r="C64">
        <v>3</v>
      </c>
      <c r="D64">
        <v>0</v>
      </c>
      <c r="E64">
        <v>0</v>
      </c>
      <c r="F64">
        <v>894.74</v>
      </c>
    </row>
    <row r="65" spans="1:11" x14ac:dyDescent="0.3">
      <c r="A65" t="s">
        <v>4</v>
      </c>
      <c r="B65">
        <v>2001</v>
      </c>
      <c r="C65">
        <v>2</v>
      </c>
      <c r="D65">
        <v>0</v>
      </c>
      <c r="E65">
        <v>0</v>
      </c>
      <c r="F65">
        <v>909.21</v>
      </c>
    </row>
    <row r="66" spans="1:11" x14ac:dyDescent="0.3">
      <c r="A66" t="s">
        <v>4</v>
      </c>
      <c r="B66">
        <v>2001</v>
      </c>
      <c r="C66">
        <v>3</v>
      </c>
      <c r="D66">
        <v>0</v>
      </c>
      <c r="E66">
        <v>0</v>
      </c>
      <c r="F66">
        <v>923.31</v>
      </c>
    </row>
    <row r="67" spans="1:11" x14ac:dyDescent="0.3">
      <c r="A67" t="s">
        <v>4</v>
      </c>
      <c r="B67">
        <v>11</v>
      </c>
      <c r="C67">
        <v>14</v>
      </c>
      <c r="D67">
        <v>2198747.1796875</v>
      </c>
      <c r="E67">
        <v>0</v>
      </c>
      <c r="F67">
        <v>938.29</v>
      </c>
      <c r="G67" t="s">
        <v>7</v>
      </c>
      <c r="H67">
        <v>5</v>
      </c>
      <c r="I67">
        <f t="shared" ref="I67:J69" si="10">D67/(C67+D67)</f>
        <v>0.99999363277825293</v>
      </c>
      <c r="J67" s="6">
        <f t="shared" si="10"/>
        <v>0</v>
      </c>
      <c r="K67" s="2">
        <f>(J67*$N$3)/$N$2</f>
        <v>0</v>
      </c>
    </row>
    <row r="68" spans="1:11" x14ac:dyDescent="0.3">
      <c r="A68" t="s">
        <v>4</v>
      </c>
      <c r="B68">
        <v>11</v>
      </c>
      <c r="C68">
        <v>16</v>
      </c>
      <c r="D68">
        <v>5361089.6455078097</v>
      </c>
      <c r="E68">
        <v>0</v>
      </c>
      <c r="F68">
        <v>953.18</v>
      </c>
      <c r="G68" t="s">
        <v>7</v>
      </c>
      <c r="H68">
        <v>5</v>
      </c>
      <c r="I68">
        <f t="shared" si="10"/>
        <v>0.99999701554099885</v>
      </c>
      <c r="J68" s="6">
        <f t="shared" si="10"/>
        <v>0</v>
      </c>
      <c r="K68" s="2">
        <f>(J68*$N$3)/$N$2</f>
        <v>0</v>
      </c>
    </row>
    <row r="69" spans="1:11" x14ac:dyDescent="0.3">
      <c r="A69" t="s">
        <v>4</v>
      </c>
      <c r="B69">
        <v>11</v>
      </c>
      <c r="C69">
        <v>18</v>
      </c>
      <c r="D69">
        <v>5879095.12255859</v>
      </c>
      <c r="E69">
        <v>0</v>
      </c>
      <c r="F69">
        <v>967.93</v>
      </c>
      <c r="G69" t="s">
        <v>7</v>
      </c>
      <c r="H69">
        <v>5</v>
      </c>
      <c r="I69">
        <f t="shared" si="10"/>
        <v>0.99999693831371761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4</v>
      </c>
      <c r="B70">
        <v>2001</v>
      </c>
      <c r="C70">
        <v>2</v>
      </c>
      <c r="D70">
        <v>0</v>
      </c>
      <c r="E70">
        <v>0</v>
      </c>
      <c r="F70">
        <v>982.31</v>
      </c>
    </row>
    <row r="71" spans="1:11" x14ac:dyDescent="0.3">
      <c r="A71" t="s">
        <v>4</v>
      </c>
      <c r="B71">
        <v>2001</v>
      </c>
      <c r="C71">
        <v>3</v>
      </c>
      <c r="D71">
        <v>0</v>
      </c>
      <c r="E71">
        <v>0</v>
      </c>
      <c r="F71">
        <v>996.53</v>
      </c>
    </row>
    <row r="72" spans="1:11" x14ac:dyDescent="0.3">
      <c r="A72" t="s">
        <v>4</v>
      </c>
      <c r="B72">
        <v>11</v>
      </c>
      <c r="C72">
        <v>20</v>
      </c>
      <c r="D72">
        <v>169231.109375</v>
      </c>
      <c r="E72">
        <v>3869430.6997070299</v>
      </c>
      <c r="F72">
        <v>1011.15</v>
      </c>
      <c r="G72" t="s">
        <v>6</v>
      </c>
      <c r="H72">
        <v>5</v>
      </c>
      <c r="I72">
        <f t="shared" ref="I72:J74" si="11">D72/(C72+D72)</f>
        <v>0.99988183238459205</v>
      </c>
      <c r="J72" s="6">
        <f t="shared" si="11"/>
        <v>0.95809723186169293</v>
      </c>
      <c r="K72" s="2">
        <f>(J72*$N$3)/$N$2</f>
        <v>3.3948327113209587</v>
      </c>
    </row>
    <row r="73" spans="1:11" x14ac:dyDescent="0.3">
      <c r="A73" t="s">
        <v>4</v>
      </c>
      <c r="B73">
        <v>11</v>
      </c>
      <c r="C73">
        <v>22</v>
      </c>
      <c r="D73">
        <v>166565.3359375</v>
      </c>
      <c r="E73">
        <v>3945883.4453125</v>
      </c>
      <c r="F73">
        <v>1026.17</v>
      </c>
      <c r="G73" t="s">
        <v>6</v>
      </c>
      <c r="H73">
        <v>5</v>
      </c>
      <c r="I73">
        <f t="shared" si="11"/>
        <v>0.99986793714014222</v>
      </c>
      <c r="J73" s="6">
        <f t="shared" si="11"/>
        <v>0.95949728621620145</v>
      </c>
      <c r="K73" s="2">
        <f>(J73*$N$3)/$N$2</f>
        <v>3.3997935338369336</v>
      </c>
    </row>
    <row r="74" spans="1:11" x14ac:dyDescent="0.3">
      <c r="A74" t="s">
        <v>4</v>
      </c>
      <c r="B74">
        <v>11</v>
      </c>
      <c r="C74">
        <v>24</v>
      </c>
      <c r="D74">
        <v>146550.90625</v>
      </c>
      <c r="E74">
        <v>3351754.4873046898</v>
      </c>
      <c r="F74">
        <v>1041.06</v>
      </c>
      <c r="G74" t="s">
        <v>6</v>
      </c>
      <c r="H74">
        <v>5</v>
      </c>
      <c r="I74">
        <f t="shared" si="11"/>
        <v>0.99983626119494784</v>
      </c>
      <c r="J74" s="6">
        <f t="shared" si="11"/>
        <v>0.95810802952766594</v>
      </c>
      <c r="K74" s="2">
        <f>(J74*$N$3)/$N$2</f>
        <v>3.3948709707673199</v>
      </c>
    </row>
    <row r="75" spans="1:11" x14ac:dyDescent="0.3">
      <c r="A75" t="s">
        <v>4</v>
      </c>
      <c r="B75">
        <v>2001</v>
      </c>
      <c r="C75">
        <v>2</v>
      </c>
      <c r="D75">
        <v>0</v>
      </c>
      <c r="E75">
        <v>0</v>
      </c>
      <c r="F75">
        <v>1055.4100000000001</v>
      </c>
    </row>
    <row r="76" spans="1:11" x14ac:dyDescent="0.3">
      <c r="A76" t="s">
        <v>4</v>
      </c>
      <c r="B76">
        <v>2001</v>
      </c>
      <c r="C76">
        <v>3</v>
      </c>
      <c r="D76">
        <v>0</v>
      </c>
      <c r="E76">
        <v>0</v>
      </c>
      <c r="F76">
        <v>1069.6099999999999</v>
      </c>
    </row>
    <row r="77" spans="1:11" x14ac:dyDescent="0.3">
      <c r="A77" t="s">
        <v>4</v>
      </c>
      <c r="B77">
        <v>2001</v>
      </c>
      <c r="C77">
        <v>2</v>
      </c>
      <c r="D77">
        <v>0</v>
      </c>
      <c r="E77">
        <v>0</v>
      </c>
      <c r="F77">
        <v>1084.08</v>
      </c>
    </row>
    <row r="78" spans="1:11" x14ac:dyDescent="0.3">
      <c r="A78" t="s">
        <v>4</v>
      </c>
      <c r="B78">
        <v>2001</v>
      </c>
      <c r="C78">
        <v>3</v>
      </c>
      <c r="D78">
        <v>0</v>
      </c>
      <c r="E78">
        <v>0</v>
      </c>
      <c r="F78">
        <v>1098.1600000000001</v>
      </c>
    </row>
    <row r="79" spans="1:11" x14ac:dyDescent="0.3">
      <c r="A79" t="s">
        <v>4</v>
      </c>
      <c r="B79">
        <v>10</v>
      </c>
      <c r="C79">
        <v>14</v>
      </c>
      <c r="D79">
        <v>5306165.6376953097</v>
      </c>
      <c r="E79">
        <v>0</v>
      </c>
      <c r="F79">
        <v>1112.9100000000001</v>
      </c>
      <c r="G79" t="s">
        <v>7</v>
      </c>
      <c r="H79">
        <v>10</v>
      </c>
      <c r="I79">
        <f t="shared" ref="I79:J81" si="12">D79/(C79+D79)</f>
        <v>0.99999736156689822</v>
      </c>
      <c r="J79" s="6">
        <f t="shared" si="12"/>
        <v>0</v>
      </c>
      <c r="K79" s="2">
        <f>(J79*$N$3)/$N$2</f>
        <v>0</v>
      </c>
    </row>
    <row r="80" spans="1:11" x14ac:dyDescent="0.3">
      <c r="A80" t="s">
        <v>4</v>
      </c>
      <c r="B80">
        <v>10</v>
      </c>
      <c r="C80">
        <v>16</v>
      </c>
      <c r="D80">
        <v>5161221.6875</v>
      </c>
      <c r="E80">
        <v>0</v>
      </c>
      <c r="F80">
        <v>1127.6199999999999</v>
      </c>
      <c r="G80" t="s">
        <v>7</v>
      </c>
      <c r="H80">
        <v>10</v>
      </c>
      <c r="I80">
        <f t="shared" si="12"/>
        <v>0.9999968999683857</v>
      </c>
      <c r="J80" s="6">
        <f t="shared" si="12"/>
        <v>0</v>
      </c>
      <c r="K80" s="2">
        <f>(J80*$N$3)/$N$2</f>
        <v>0</v>
      </c>
    </row>
    <row r="81" spans="1:11" x14ac:dyDescent="0.3">
      <c r="A81" t="s">
        <v>4</v>
      </c>
      <c r="B81">
        <v>10</v>
      </c>
      <c r="C81">
        <v>18</v>
      </c>
      <c r="D81">
        <v>5281060.5029296903</v>
      </c>
      <c r="E81">
        <v>0</v>
      </c>
      <c r="F81">
        <v>1142.24</v>
      </c>
      <c r="G81" t="s">
        <v>7</v>
      </c>
      <c r="H81">
        <v>10</v>
      </c>
      <c r="I81">
        <f t="shared" si="12"/>
        <v>0.99999659160529619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4</v>
      </c>
      <c r="B82">
        <v>2001</v>
      </c>
      <c r="C82">
        <v>2</v>
      </c>
      <c r="D82">
        <v>0</v>
      </c>
      <c r="E82">
        <v>0</v>
      </c>
      <c r="F82">
        <v>1156.7</v>
      </c>
    </row>
    <row r="83" spans="1:11" x14ac:dyDescent="0.3">
      <c r="A83" t="s">
        <v>4</v>
      </c>
      <c r="B83">
        <v>2001</v>
      </c>
      <c r="C83">
        <v>3</v>
      </c>
      <c r="D83">
        <v>0</v>
      </c>
      <c r="E83">
        <v>0</v>
      </c>
      <c r="F83">
        <v>1170.8900000000001</v>
      </c>
    </row>
    <row r="84" spans="1:11" x14ac:dyDescent="0.3">
      <c r="A84" t="s">
        <v>4</v>
      </c>
      <c r="B84">
        <v>10</v>
      </c>
      <c r="C84">
        <v>20</v>
      </c>
      <c r="D84">
        <v>181628.228515625</v>
      </c>
      <c r="E84">
        <v>4043586.2080078102</v>
      </c>
      <c r="F84">
        <v>1185.6199999999999</v>
      </c>
      <c r="G84" t="s">
        <v>6</v>
      </c>
      <c r="H84">
        <v>10</v>
      </c>
      <c r="I84">
        <f t="shared" ref="I84:J86" si="13">D84/(C84+D84)</f>
        <v>0.99988989708205012</v>
      </c>
      <c r="J84" s="6">
        <f t="shared" si="13"/>
        <v>0.95701325193211451</v>
      </c>
      <c r="K84" s="2">
        <f>(J84*$N$3)/$N$2</f>
        <v>3.3909918375547359</v>
      </c>
    </row>
    <row r="85" spans="1:11" x14ac:dyDescent="0.3">
      <c r="A85" t="s">
        <v>4</v>
      </c>
      <c r="B85">
        <v>10</v>
      </c>
      <c r="C85">
        <v>22</v>
      </c>
      <c r="D85">
        <v>57844.2470703125</v>
      </c>
      <c r="E85">
        <v>2005586.6953125</v>
      </c>
      <c r="F85">
        <v>1200.3499999999999</v>
      </c>
      <c r="G85" t="s">
        <v>6</v>
      </c>
      <c r="H85">
        <v>10</v>
      </c>
      <c r="I85">
        <f t="shared" si="13"/>
        <v>0.99961981291143231</v>
      </c>
      <c r="J85" s="6">
        <f t="shared" si="13"/>
        <v>0.97196695761307383</v>
      </c>
      <c r="K85" s="2">
        <f>(J85*$N$3)/$N$2</f>
        <v>3.4439774088652215</v>
      </c>
    </row>
    <row r="86" spans="1:11" x14ac:dyDescent="0.3">
      <c r="A86" t="s">
        <v>4</v>
      </c>
      <c r="B86">
        <v>10</v>
      </c>
      <c r="C86">
        <v>24</v>
      </c>
      <c r="D86">
        <v>147997.427734375</v>
      </c>
      <c r="E86">
        <v>3602349.0581054701</v>
      </c>
      <c r="F86">
        <v>1215.05</v>
      </c>
      <c r="G86" t="s">
        <v>6</v>
      </c>
      <c r="H86">
        <v>10</v>
      </c>
      <c r="I86">
        <f t="shared" si="13"/>
        <v>0.99983786131259955</v>
      </c>
      <c r="J86" s="6">
        <f t="shared" si="13"/>
        <v>0.96053766544153518</v>
      </c>
      <c r="K86" s="2">
        <f>(J86*$N$3)/$N$2</f>
        <v>3.4034799169188252</v>
      </c>
    </row>
    <row r="87" spans="1:11" x14ac:dyDescent="0.3">
      <c r="A87" t="s">
        <v>4</v>
      </c>
      <c r="B87">
        <v>2001</v>
      </c>
      <c r="C87">
        <v>2</v>
      </c>
      <c r="D87">
        <v>0</v>
      </c>
      <c r="E87">
        <v>0</v>
      </c>
      <c r="F87">
        <v>1229.3800000000001</v>
      </c>
    </row>
    <row r="88" spans="1:11" x14ac:dyDescent="0.3">
      <c r="A88" t="s">
        <v>4</v>
      </c>
      <c r="B88">
        <v>2001</v>
      </c>
      <c r="C88">
        <v>3</v>
      </c>
      <c r="D88">
        <v>0</v>
      </c>
      <c r="E88">
        <v>0</v>
      </c>
      <c r="F88">
        <v>1243.5899999999999</v>
      </c>
    </row>
    <row r="89" spans="1:11" x14ac:dyDescent="0.3">
      <c r="A89" t="s">
        <v>4</v>
      </c>
      <c r="B89">
        <v>2001</v>
      </c>
      <c r="C89">
        <v>2</v>
      </c>
      <c r="D89">
        <v>0</v>
      </c>
      <c r="E89">
        <v>0</v>
      </c>
      <c r="F89">
        <v>1258.04</v>
      </c>
    </row>
    <row r="90" spans="1:11" x14ac:dyDescent="0.3">
      <c r="A90" t="s">
        <v>4</v>
      </c>
      <c r="B90">
        <v>2001</v>
      </c>
      <c r="C90">
        <v>3</v>
      </c>
      <c r="D90">
        <v>0</v>
      </c>
      <c r="E90">
        <v>0</v>
      </c>
      <c r="F90">
        <v>1272.24</v>
      </c>
    </row>
    <row r="91" spans="1:11" x14ac:dyDescent="0.3">
      <c r="A91" t="s">
        <v>4</v>
      </c>
      <c r="B91">
        <v>9</v>
      </c>
      <c r="C91">
        <v>14</v>
      </c>
      <c r="D91">
        <v>5405942.1269531297</v>
      </c>
      <c r="E91">
        <v>0</v>
      </c>
      <c r="F91">
        <v>1286.98</v>
      </c>
      <c r="G91" t="s">
        <v>7</v>
      </c>
      <c r="H91">
        <v>20</v>
      </c>
      <c r="I91">
        <f t="shared" ref="I91:J93" si="14">D91/(C91+D91)</f>
        <v>0.99999741026385136</v>
      </c>
      <c r="J91" s="6">
        <f t="shared" si="14"/>
        <v>0</v>
      </c>
      <c r="K91" s="2">
        <f>(J91*$N$3)/$N$2</f>
        <v>0</v>
      </c>
    </row>
    <row r="92" spans="1:11" x14ac:dyDescent="0.3">
      <c r="A92" t="s">
        <v>4</v>
      </c>
      <c r="B92">
        <v>9</v>
      </c>
      <c r="C92">
        <v>16</v>
      </c>
      <c r="D92">
        <v>5069724.7314453097</v>
      </c>
      <c r="E92">
        <v>0</v>
      </c>
      <c r="F92">
        <v>1301.54</v>
      </c>
      <c r="G92" t="s">
        <v>7</v>
      </c>
      <c r="H92">
        <v>20</v>
      </c>
      <c r="I92">
        <f t="shared" si="14"/>
        <v>0.99999684402006972</v>
      </c>
      <c r="J92" s="6">
        <f t="shared" si="14"/>
        <v>0</v>
      </c>
      <c r="K92" s="2">
        <f>(J92*$N$3)/$N$2</f>
        <v>0</v>
      </c>
    </row>
    <row r="93" spans="1:11" x14ac:dyDescent="0.3">
      <c r="A93" t="s">
        <v>4</v>
      </c>
      <c r="B93">
        <v>9</v>
      </c>
      <c r="C93">
        <v>18</v>
      </c>
      <c r="D93">
        <v>5425525.19140625</v>
      </c>
      <c r="E93">
        <v>0</v>
      </c>
      <c r="F93">
        <v>1316.28</v>
      </c>
      <c r="G93" t="s">
        <v>7</v>
      </c>
      <c r="H93">
        <v>20</v>
      </c>
      <c r="I93">
        <f t="shared" si="14"/>
        <v>0.99999668235983663</v>
      </c>
      <c r="J93" s="6">
        <f t="shared" si="14"/>
        <v>0</v>
      </c>
      <c r="K93" s="2">
        <f>(J93*$N$3)/$N$2</f>
        <v>0</v>
      </c>
    </row>
    <row r="94" spans="1:11" x14ac:dyDescent="0.3">
      <c r="A94" t="s">
        <v>4</v>
      </c>
      <c r="B94">
        <v>2001</v>
      </c>
      <c r="C94">
        <v>2</v>
      </c>
      <c r="D94">
        <v>0</v>
      </c>
      <c r="E94">
        <v>0</v>
      </c>
      <c r="F94">
        <v>1330.61</v>
      </c>
    </row>
    <row r="95" spans="1:11" x14ac:dyDescent="0.3">
      <c r="A95" t="s">
        <v>4</v>
      </c>
      <c r="B95">
        <v>2001</v>
      </c>
      <c r="C95">
        <v>3</v>
      </c>
      <c r="D95">
        <v>0</v>
      </c>
      <c r="E95">
        <v>0</v>
      </c>
      <c r="F95">
        <v>1344.46</v>
      </c>
    </row>
    <row r="96" spans="1:11" x14ac:dyDescent="0.3">
      <c r="A96" t="s">
        <v>4</v>
      </c>
      <c r="B96">
        <v>9</v>
      </c>
      <c r="C96">
        <v>20</v>
      </c>
      <c r="D96">
        <v>157563.85498046901</v>
      </c>
      <c r="E96">
        <v>4019372.0673828102</v>
      </c>
      <c r="F96">
        <v>1359.17</v>
      </c>
      <c r="G96" t="s">
        <v>6</v>
      </c>
      <c r="H96">
        <v>20</v>
      </c>
      <c r="I96">
        <f t="shared" ref="I96:J98" si="15">D96/(C96+D96)</f>
        <v>0.99987308344498571</v>
      </c>
      <c r="J96" s="6">
        <f t="shared" si="15"/>
        <v>0.96227764612407063</v>
      </c>
      <c r="K96" s="2">
        <f>(J96*$N$3)/$N$2</f>
        <v>3.4096452028018245</v>
      </c>
    </row>
    <row r="97" spans="1:11" x14ac:dyDescent="0.3">
      <c r="A97" t="s">
        <v>4</v>
      </c>
      <c r="B97">
        <v>9</v>
      </c>
      <c r="C97">
        <v>22</v>
      </c>
      <c r="D97">
        <v>166343.205078125</v>
      </c>
      <c r="E97">
        <v>4042477.80078125</v>
      </c>
      <c r="F97">
        <v>1373.86</v>
      </c>
      <c r="G97" t="s">
        <v>6</v>
      </c>
      <c r="H97">
        <v>20</v>
      </c>
      <c r="I97">
        <f t="shared" si="15"/>
        <v>0.9998677608097819</v>
      </c>
      <c r="J97" s="6">
        <f t="shared" si="15"/>
        <v>0.96047748173501613</v>
      </c>
      <c r="K97" s="2">
        <f>(J97*$N$3)/$N$2</f>
        <v>3.4032666675650169</v>
      </c>
    </row>
    <row r="98" spans="1:11" x14ac:dyDescent="0.3">
      <c r="A98" t="s">
        <v>4</v>
      </c>
      <c r="B98">
        <v>9</v>
      </c>
      <c r="C98">
        <v>24</v>
      </c>
      <c r="D98">
        <v>161858.62646484401</v>
      </c>
      <c r="E98">
        <v>3787991.41552734</v>
      </c>
      <c r="F98">
        <v>1388.58</v>
      </c>
      <c r="G98" t="s">
        <v>6</v>
      </c>
      <c r="H98">
        <v>20</v>
      </c>
      <c r="I98">
        <f t="shared" si="15"/>
        <v>0.99985174443654579</v>
      </c>
      <c r="J98" s="6">
        <f t="shared" si="15"/>
        <v>0.95902157683353273</v>
      </c>
      <c r="K98" s="2">
        <f>(J98*$N$3)/$N$2</f>
        <v>3.3981079494101549</v>
      </c>
    </row>
    <row r="99" spans="1:11" x14ac:dyDescent="0.3">
      <c r="A99" t="s">
        <v>4</v>
      </c>
      <c r="B99">
        <v>2001</v>
      </c>
      <c r="C99">
        <v>2</v>
      </c>
      <c r="D99">
        <v>0</v>
      </c>
      <c r="E99">
        <v>0</v>
      </c>
      <c r="F99">
        <v>1402.99</v>
      </c>
    </row>
    <row r="100" spans="1:11" x14ac:dyDescent="0.3">
      <c r="A100" t="s">
        <v>4</v>
      </c>
      <c r="B100">
        <v>2001</v>
      </c>
      <c r="C100">
        <v>3</v>
      </c>
      <c r="D100">
        <v>0</v>
      </c>
      <c r="E100">
        <v>0</v>
      </c>
      <c r="F100">
        <v>1417.18</v>
      </c>
    </row>
    <row r="101" spans="1:11" x14ac:dyDescent="0.3">
      <c r="A101" t="s">
        <v>4</v>
      </c>
      <c r="B101">
        <v>2001</v>
      </c>
      <c r="C101">
        <v>2</v>
      </c>
      <c r="D101">
        <v>0</v>
      </c>
      <c r="E101">
        <v>0</v>
      </c>
      <c r="F101">
        <v>1431.51</v>
      </c>
    </row>
    <row r="102" spans="1:11" x14ac:dyDescent="0.3">
      <c r="A102" t="s">
        <v>4</v>
      </c>
      <c r="B102">
        <v>2001</v>
      </c>
      <c r="C102">
        <v>3</v>
      </c>
      <c r="D102">
        <v>0</v>
      </c>
      <c r="E102">
        <v>0</v>
      </c>
      <c r="F102">
        <v>1445.69</v>
      </c>
    </row>
    <row r="103" spans="1:11" x14ac:dyDescent="0.3">
      <c r="A103" t="s">
        <v>4</v>
      </c>
      <c r="B103">
        <v>2001</v>
      </c>
      <c r="C103">
        <v>2</v>
      </c>
      <c r="D103">
        <v>0</v>
      </c>
      <c r="E103">
        <v>0</v>
      </c>
      <c r="F103">
        <v>1460.14</v>
      </c>
    </row>
    <row r="104" spans="1:11" x14ac:dyDescent="0.3">
      <c r="A104" t="s">
        <v>4</v>
      </c>
      <c r="B104">
        <v>2001</v>
      </c>
      <c r="C104">
        <v>3</v>
      </c>
      <c r="D104">
        <v>0</v>
      </c>
      <c r="E104">
        <v>0</v>
      </c>
      <c r="F104">
        <v>1474.35</v>
      </c>
    </row>
    <row r="105" spans="1:11" x14ac:dyDescent="0.3">
      <c r="A105" t="s">
        <v>4</v>
      </c>
      <c r="B105">
        <v>8</v>
      </c>
      <c r="C105">
        <v>14</v>
      </c>
      <c r="D105">
        <v>5089763.13671875</v>
      </c>
      <c r="E105">
        <v>0</v>
      </c>
      <c r="F105">
        <v>1489.07</v>
      </c>
      <c r="G105" t="s">
        <v>7</v>
      </c>
      <c r="H105">
        <v>40</v>
      </c>
      <c r="I105">
        <f t="shared" ref="I105:J107" si="16">D105/(C105+D105)</f>
        <v>0.99999724938840662</v>
      </c>
      <c r="J105" s="6">
        <f t="shared" si="16"/>
        <v>0</v>
      </c>
      <c r="K105" s="2">
        <f>(J105*$N$3)/$N$2</f>
        <v>0</v>
      </c>
    </row>
    <row r="106" spans="1:11" x14ac:dyDescent="0.3">
      <c r="A106" t="s">
        <v>4</v>
      </c>
      <c r="B106">
        <v>8</v>
      </c>
      <c r="C106">
        <v>16</v>
      </c>
      <c r="D106">
        <v>4987778.2021484403</v>
      </c>
      <c r="E106">
        <v>0</v>
      </c>
      <c r="F106">
        <v>1503.77</v>
      </c>
      <c r="G106" t="s">
        <v>7</v>
      </c>
      <c r="H106">
        <v>40</v>
      </c>
      <c r="I106">
        <f t="shared" si="16"/>
        <v>0.99999679216917303</v>
      </c>
      <c r="J106" s="6">
        <f t="shared" si="16"/>
        <v>0</v>
      </c>
      <c r="K106" s="2">
        <f>(J106*$N$3)/$N$2</f>
        <v>0</v>
      </c>
    </row>
    <row r="107" spans="1:11" x14ac:dyDescent="0.3">
      <c r="A107" t="s">
        <v>4</v>
      </c>
      <c r="B107">
        <v>8</v>
      </c>
      <c r="C107">
        <v>18</v>
      </c>
      <c r="D107">
        <v>5130007.1152343797</v>
      </c>
      <c r="E107">
        <v>0</v>
      </c>
      <c r="F107">
        <v>1518.48</v>
      </c>
      <c r="G107" t="s">
        <v>7</v>
      </c>
      <c r="H107">
        <v>40</v>
      </c>
      <c r="I107">
        <f t="shared" si="16"/>
        <v>0.99999649124524814</v>
      </c>
      <c r="J107" s="6">
        <f t="shared" si="16"/>
        <v>0</v>
      </c>
      <c r="K107" s="2">
        <f>(J107*$N$3)/$N$2</f>
        <v>0</v>
      </c>
    </row>
    <row r="108" spans="1:11" x14ac:dyDescent="0.3">
      <c r="A108" t="s">
        <v>4</v>
      </c>
      <c r="B108">
        <v>2001</v>
      </c>
      <c r="C108">
        <v>2</v>
      </c>
      <c r="D108">
        <v>0</v>
      </c>
      <c r="E108">
        <v>0</v>
      </c>
      <c r="F108">
        <v>1532.93</v>
      </c>
    </row>
    <row r="109" spans="1:11" x14ac:dyDescent="0.3">
      <c r="A109" t="s">
        <v>4</v>
      </c>
      <c r="B109">
        <v>2001</v>
      </c>
      <c r="C109">
        <v>3</v>
      </c>
      <c r="D109">
        <v>0</v>
      </c>
      <c r="E109">
        <v>0</v>
      </c>
      <c r="F109">
        <v>1547.09</v>
      </c>
    </row>
    <row r="110" spans="1:11" x14ac:dyDescent="0.3">
      <c r="A110" t="s">
        <v>4</v>
      </c>
      <c r="B110">
        <v>2001</v>
      </c>
      <c r="C110">
        <v>2</v>
      </c>
      <c r="D110">
        <v>0</v>
      </c>
      <c r="E110">
        <v>0</v>
      </c>
      <c r="F110">
        <v>1561.42</v>
      </c>
    </row>
    <row r="111" spans="1:11" x14ac:dyDescent="0.3">
      <c r="A111" t="s">
        <v>4</v>
      </c>
      <c r="B111">
        <v>2001</v>
      </c>
      <c r="C111">
        <v>3</v>
      </c>
      <c r="D111">
        <v>0</v>
      </c>
      <c r="E111">
        <v>0</v>
      </c>
      <c r="F111">
        <v>1575.62</v>
      </c>
    </row>
    <row r="112" spans="1:11" x14ac:dyDescent="0.3">
      <c r="A112" t="s">
        <v>4</v>
      </c>
      <c r="B112">
        <v>8</v>
      </c>
      <c r="C112">
        <v>20</v>
      </c>
      <c r="D112">
        <v>167181.828125</v>
      </c>
      <c r="E112">
        <v>4471886.4755859403</v>
      </c>
      <c r="F112">
        <v>1590.32</v>
      </c>
      <c r="G112" t="s">
        <v>6</v>
      </c>
      <c r="H112">
        <v>40</v>
      </c>
      <c r="I112">
        <f t="shared" ref="I112:J114" si="17">D112/(C112+D112)</f>
        <v>0.99988038408297153</v>
      </c>
      <c r="J112" s="6">
        <f t="shared" si="17"/>
        <v>0.96396219732499611</v>
      </c>
      <c r="K112" s="2">
        <f>(J112*$N$3)/$N$2</f>
        <v>3.4156140850098282</v>
      </c>
    </row>
    <row r="113" spans="1:11" x14ac:dyDescent="0.3">
      <c r="A113" t="s">
        <v>4</v>
      </c>
      <c r="B113">
        <v>8</v>
      </c>
      <c r="C113">
        <v>22</v>
      </c>
      <c r="D113">
        <v>176032.689453125</v>
      </c>
      <c r="E113">
        <v>4345991.52734375</v>
      </c>
      <c r="F113">
        <v>1605.05</v>
      </c>
      <c r="G113" t="s">
        <v>6</v>
      </c>
      <c r="H113">
        <v>40</v>
      </c>
      <c r="I113">
        <f t="shared" si="17"/>
        <v>0.99987503882987527</v>
      </c>
      <c r="J113" s="6">
        <f t="shared" si="17"/>
        <v>0.96107214799972573</v>
      </c>
      <c r="K113" s="2">
        <f>(J113*$N$3)/$N$2</f>
        <v>3.405373752754933</v>
      </c>
    </row>
    <row r="114" spans="1:11" x14ac:dyDescent="0.3">
      <c r="A114" t="s">
        <v>4</v>
      </c>
      <c r="B114">
        <v>8</v>
      </c>
      <c r="C114">
        <v>24</v>
      </c>
      <c r="D114">
        <v>145167.75244140599</v>
      </c>
      <c r="E114">
        <v>3797214.6767578102</v>
      </c>
      <c r="F114">
        <v>1619.77</v>
      </c>
      <c r="G114" t="s">
        <v>6</v>
      </c>
      <c r="H114">
        <v>40</v>
      </c>
      <c r="I114">
        <f t="shared" si="17"/>
        <v>0.9998347013546125</v>
      </c>
      <c r="J114" s="6">
        <f t="shared" si="17"/>
        <v>0.96317765842140979</v>
      </c>
      <c r="K114" s="2">
        <f>(J114*$N$3)/$N$2</f>
        <v>3.4128342227530259</v>
      </c>
    </row>
    <row r="115" spans="1:11" x14ac:dyDescent="0.3">
      <c r="A115" t="s">
        <v>4</v>
      </c>
      <c r="B115">
        <v>2001</v>
      </c>
      <c r="C115">
        <v>2</v>
      </c>
      <c r="D115">
        <v>0</v>
      </c>
      <c r="E115">
        <v>0</v>
      </c>
      <c r="F115">
        <v>1634.09</v>
      </c>
    </row>
    <row r="116" spans="1:11" x14ac:dyDescent="0.3">
      <c r="A116" t="s">
        <v>4</v>
      </c>
      <c r="B116">
        <v>2001</v>
      </c>
      <c r="C116">
        <v>3</v>
      </c>
      <c r="D116">
        <v>0</v>
      </c>
      <c r="E116">
        <v>0</v>
      </c>
      <c r="F116">
        <v>1648.3</v>
      </c>
    </row>
    <row r="117" spans="1:11" x14ac:dyDescent="0.3">
      <c r="A117" t="s">
        <v>4</v>
      </c>
      <c r="B117">
        <v>2001</v>
      </c>
      <c r="C117">
        <v>2</v>
      </c>
      <c r="D117">
        <v>0</v>
      </c>
      <c r="E117">
        <v>0</v>
      </c>
      <c r="F117">
        <v>1662.76</v>
      </c>
    </row>
    <row r="118" spans="1:11" x14ac:dyDescent="0.3">
      <c r="A118" t="s">
        <v>4</v>
      </c>
      <c r="B118">
        <v>2001</v>
      </c>
      <c r="C118">
        <v>3</v>
      </c>
      <c r="D118">
        <v>0</v>
      </c>
      <c r="E118">
        <v>0</v>
      </c>
      <c r="F118">
        <v>1676.96</v>
      </c>
    </row>
    <row r="119" spans="1:11" x14ac:dyDescent="0.3">
      <c r="A119" t="s">
        <v>4</v>
      </c>
      <c r="B119">
        <v>7</v>
      </c>
      <c r="C119">
        <v>14</v>
      </c>
      <c r="D119">
        <v>4833076.3183593797</v>
      </c>
      <c r="E119">
        <v>0</v>
      </c>
      <c r="F119">
        <v>1691.66</v>
      </c>
      <c r="G119" t="s">
        <v>7</v>
      </c>
      <c r="H119">
        <v>60</v>
      </c>
      <c r="I119">
        <f t="shared" ref="I119:J121" si="18">D119/(C119+D119)</f>
        <v>0.99999710330263292</v>
      </c>
      <c r="J119" s="6">
        <f t="shared" si="18"/>
        <v>0</v>
      </c>
      <c r="K119" s="2">
        <f>(J119*$N$3)/$N$2</f>
        <v>0</v>
      </c>
    </row>
    <row r="120" spans="1:11" x14ac:dyDescent="0.3">
      <c r="A120" t="s">
        <v>4</v>
      </c>
      <c r="B120">
        <v>7</v>
      </c>
      <c r="C120">
        <v>16</v>
      </c>
      <c r="D120">
        <v>4768102.6455078097</v>
      </c>
      <c r="E120">
        <v>0</v>
      </c>
      <c r="F120">
        <v>1706.34</v>
      </c>
      <c r="G120" t="s">
        <v>7</v>
      </c>
      <c r="H120">
        <v>60</v>
      </c>
      <c r="I120">
        <f t="shared" si="18"/>
        <v>0.99999664437880231</v>
      </c>
      <c r="J120" s="6">
        <f t="shared" si="18"/>
        <v>0</v>
      </c>
      <c r="K120" s="2">
        <f>(J120*$N$3)/$N$2</f>
        <v>0</v>
      </c>
    </row>
    <row r="121" spans="1:11" x14ac:dyDescent="0.3">
      <c r="A121" t="s">
        <v>4</v>
      </c>
      <c r="B121">
        <v>7</v>
      </c>
      <c r="C121">
        <v>18</v>
      </c>
      <c r="D121">
        <v>5021061.8808593797</v>
      </c>
      <c r="E121">
        <v>0</v>
      </c>
      <c r="F121">
        <v>1721.08</v>
      </c>
      <c r="G121" t="s">
        <v>7</v>
      </c>
      <c r="H121">
        <v>60</v>
      </c>
      <c r="I121">
        <f t="shared" si="18"/>
        <v>0.99999641511379478</v>
      </c>
      <c r="J121" s="6">
        <f t="shared" si="18"/>
        <v>0</v>
      </c>
      <c r="K121" s="2">
        <f>(J121*$N$3)/$N$2</f>
        <v>0</v>
      </c>
    </row>
    <row r="122" spans="1:11" x14ac:dyDescent="0.3">
      <c r="A122" t="s">
        <v>4</v>
      </c>
      <c r="B122">
        <v>2001</v>
      </c>
      <c r="C122">
        <v>2</v>
      </c>
      <c r="D122">
        <v>0</v>
      </c>
      <c r="E122">
        <v>0</v>
      </c>
      <c r="F122">
        <v>1735.42</v>
      </c>
    </row>
    <row r="123" spans="1:11" x14ac:dyDescent="0.3">
      <c r="A123" t="s">
        <v>4</v>
      </c>
      <c r="B123">
        <v>2001</v>
      </c>
      <c r="C123">
        <v>3</v>
      </c>
      <c r="D123">
        <v>0</v>
      </c>
      <c r="E123">
        <v>0</v>
      </c>
      <c r="F123">
        <v>1749.53</v>
      </c>
    </row>
    <row r="124" spans="1:11" x14ac:dyDescent="0.3">
      <c r="A124" t="s">
        <v>4</v>
      </c>
      <c r="B124">
        <v>2001</v>
      </c>
      <c r="C124">
        <v>2</v>
      </c>
      <c r="D124">
        <v>0</v>
      </c>
      <c r="E124">
        <v>0</v>
      </c>
      <c r="F124">
        <v>1764</v>
      </c>
    </row>
    <row r="125" spans="1:11" x14ac:dyDescent="0.3">
      <c r="A125" t="s">
        <v>4</v>
      </c>
      <c r="B125">
        <v>2001</v>
      </c>
      <c r="C125">
        <v>3</v>
      </c>
      <c r="D125">
        <v>0</v>
      </c>
      <c r="E125">
        <v>0</v>
      </c>
      <c r="F125">
        <v>1778.19</v>
      </c>
    </row>
    <row r="126" spans="1:11" x14ac:dyDescent="0.3">
      <c r="A126" t="s">
        <v>4</v>
      </c>
      <c r="B126">
        <v>7</v>
      </c>
      <c r="C126">
        <v>20</v>
      </c>
      <c r="D126">
        <v>163745.59423828099</v>
      </c>
      <c r="E126">
        <v>4377279.06005859</v>
      </c>
      <c r="F126">
        <v>1792.87</v>
      </c>
      <c r="G126" t="s">
        <v>6</v>
      </c>
      <c r="H126">
        <v>60</v>
      </c>
      <c r="I126">
        <f t="shared" ref="I126:J128" si="19">D126/(C126+D126)</f>
        <v>0.99987787422570029</v>
      </c>
      <c r="J126" s="6">
        <f t="shared" si="19"/>
        <v>0.96394082686088489</v>
      </c>
      <c r="K126" s="2">
        <f>(J126*$N$3)/$N$2</f>
        <v>3.415538362892899</v>
      </c>
    </row>
    <row r="127" spans="1:11" x14ac:dyDescent="0.3">
      <c r="A127" t="s">
        <v>4</v>
      </c>
      <c r="B127">
        <v>7</v>
      </c>
      <c r="C127">
        <v>22</v>
      </c>
      <c r="D127">
        <v>152000.931640625</v>
      </c>
      <c r="E127">
        <v>4209821.4921875</v>
      </c>
      <c r="F127">
        <v>1807.56</v>
      </c>
      <c r="G127" t="s">
        <v>6</v>
      </c>
      <c r="H127">
        <v>60</v>
      </c>
      <c r="I127">
        <f t="shared" si="19"/>
        <v>0.9998552849904776</v>
      </c>
      <c r="J127" s="6">
        <f t="shared" si="19"/>
        <v>0.96515196702867556</v>
      </c>
      <c r="K127" s="2">
        <f>(J127*$N$3)/$N$2</f>
        <v>3.4198298044323141</v>
      </c>
    </row>
    <row r="128" spans="1:11" x14ac:dyDescent="0.3">
      <c r="A128" t="s">
        <v>4</v>
      </c>
      <c r="B128">
        <v>7</v>
      </c>
      <c r="C128">
        <v>24</v>
      </c>
      <c r="D128">
        <v>157133.361328125</v>
      </c>
      <c r="E128">
        <v>4166332.1206054701</v>
      </c>
      <c r="F128">
        <v>1822.29</v>
      </c>
      <c r="G128" t="s">
        <v>6</v>
      </c>
      <c r="H128">
        <v>60</v>
      </c>
      <c r="I128">
        <f t="shared" si="19"/>
        <v>0.99984728682260138</v>
      </c>
      <c r="J128" s="6">
        <f t="shared" si="19"/>
        <v>0.96365569194787459</v>
      </c>
      <c r="K128" s="2">
        <f>(J128*$N$3)/$N$2</f>
        <v>3.4145280423349886</v>
      </c>
    </row>
    <row r="129" spans="1:11" x14ac:dyDescent="0.3">
      <c r="A129" t="s">
        <v>4</v>
      </c>
      <c r="B129">
        <v>2001</v>
      </c>
      <c r="C129">
        <v>2</v>
      </c>
      <c r="D129">
        <v>0</v>
      </c>
      <c r="E129">
        <v>0</v>
      </c>
      <c r="F129">
        <v>1836.75</v>
      </c>
    </row>
    <row r="130" spans="1:11" x14ac:dyDescent="0.3">
      <c r="A130" t="s">
        <v>4</v>
      </c>
      <c r="B130">
        <v>2001</v>
      </c>
      <c r="C130">
        <v>3</v>
      </c>
      <c r="D130">
        <v>0</v>
      </c>
      <c r="E130">
        <v>0</v>
      </c>
      <c r="F130">
        <v>1850.97</v>
      </c>
    </row>
    <row r="131" spans="1:11" x14ac:dyDescent="0.3">
      <c r="A131" t="s">
        <v>4</v>
      </c>
      <c r="B131">
        <v>2001</v>
      </c>
      <c r="C131">
        <v>2</v>
      </c>
      <c r="D131">
        <v>0</v>
      </c>
      <c r="E131">
        <v>0</v>
      </c>
      <c r="F131">
        <v>1865.28</v>
      </c>
    </row>
    <row r="132" spans="1:11" x14ac:dyDescent="0.3">
      <c r="A132" t="s">
        <v>4</v>
      </c>
      <c r="B132">
        <v>2001</v>
      </c>
      <c r="C132">
        <v>3</v>
      </c>
      <c r="D132">
        <v>0</v>
      </c>
      <c r="E132">
        <v>0</v>
      </c>
      <c r="F132">
        <v>1879.48</v>
      </c>
    </row>
    <row r="133" spans="1:11" x14ac:dyDescent="0.3">
      <c r="A133" t="s">
        <v>4</v>
      </c>
      <c r="B133">
        <v>6</v>
      </c>
      <c r="C133">
        <v>14</v>
      </c>
      <c r="D133">
        <v>3299306.9926757799</v>
      </c>
      <c r="E133">
        <v>0</v>
      </c>
      <c r="F133">
        <v>1894.19</v>
      </c>
      <c r="G133" t="s">
        <v>7</v>
      </c>
      <c r="H133">
        <v>90</v>
      </c>
      <c r="I133">
        <f t="shared" ref="I133:J135" si="20">D133/(C133+D133)</f>
        <v>0.99999575670265761</v>
      </c>
      <c r="J133" s="6">
        <f t="shared" si="20"/>
        <v>0</v>
      </c>
      <c r="K133" s="2">
        <f>(J133*$N$3)/$N$2</f>
        <v>0</v>
      </c>
    </row>
    <row r="134" spans="1:11" x14ac:dyDescent="0.3">
      <c r="A134" t="s">
        <v>4</v>
      </c>
      <c r="B134">
        <v>6</v>
      </c>
      <c r="C134">
        <v>16</v>
      </c>
      <c r="D134">
        <v>4238156.94921875</v>
      </c>
      <c r="E134">
        <v>0</v>
      </c>
      <c r="F134">
        <v>1908.9</v>
      </c>
      <c r="G134" t="s">
        <v>7</v>
      </c>
      <c r="H134">
        <v>90</v>
      </c>
      <c r="I134">
        <f t="shared" si="20"/>
        <v>0.99999622478832462</v>
      </c>
      <c r="J134" s="6">
        <f t="shared" si="20"/>
        <v>0</v>
      </c>
      <c r="K134" s="2">
        <f>(J134*$N$3)/$N$2</f>
        <v>0</v>
      </c>
    </row>
    <row r="135" spans="1:11" x14ac:dyDescent="0.3">
      <c r="A135" t="s">
        <v>4</v>
      </c>
      <c r="B135">
        <v>6</v>
      </c>
      <c r="C135">
        <v>18</v>
      </c>
      <c r="D135">
        <v>4209425</v>
      </c>
      <c r="E135">
        <v>0</v>
      </c>
      <c r="F135">
        <v>1923.53</v>
      </c>
      <c r="G135" t="s">
        <v>7</v>
      </c>
      <c r="H135">
        <v>90</v>
      </c>
      <c r="I135">
        <f t="shared" si="20"/>
        <v>0.99999572389981284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4</v>
      </c>
      <c r="B136">
        <v>2001</v>
      </c>
      <c r="C136">
        <v>2</v>
      </c>
      <c r="D136">
        <v>0</v>
      </c>
      <c r="E136">
        <v>0</v>
      </c>
      <c r="F136">
        <v>1937.98</v>
      </c>
    </row>
    <row r="137" spans="1:11" x14ac:dyDescent="0.3">
      <c r="A137" t="s">
        <v>4</v>
      </c>
      <c r="B137">
        <v>2001</v>
      </c>
      <c r="C137">
        <v>3</v>
      </c>
      <c r="D137">
        <v>0</v>
      </c>
      <c r="E137">
        <v>0</v>
      </c>
      <c r="F137">
        <v>1952.2</v>
      </c>
    </row>
    <row r="138" spans="1:11" x14ac:dyDescent="0.3">
      <c r="A138" t="s">
        <v>4</v>
      </c>
      <c r="B138">
        <v>2001</v>
      </c>
      <c r="C138">
        <v>2</v>
      </c>
      <c r="D138">
        <v>0</v>
      </c>
      <c r="E138">
        <v>0</v>
      </c>
      <c r="F138">
        <v>1966.52</v>
      </c>
    </row>
    <row r="139" spans="1:11" x14ac:dyDescent="0.3">
      <c r="A139" t="s">
        <v>4</v>
      </c>
      <c r="B139">
        <v>2001</v>
      </c>
      <c r="C139">
        <v>3</v>
      </c>
      <c r="D139">
        <v>0</v>
      </c>
      <c r="E139">
        <v>0</v>
      </c>
      <c r="F139">
        <v>1980.76</v>
      </c>
    </row>
    <row r="140" spans="1:11" x14ac:dyDescent="0.3">
      <c r="A140" t="s">
        <v>4</v>
      </c>
      <c r="B140">
        <v>6</v>
      </c>
      <c r="C140">
        <v>20</v>
      </c>
      <c r="D140">
        <v>46174.9951171875</v>
      </c>
      <c r="E140">
        <v>2352782.2089843801</v>
      </c>
      <c r="F140">
        <v>1995.5</v>
      </c>
      <c r="G140" t="s">
        <v>6</v>
      </c>
      <c r="H140">
        <v>90</v>
      </c>
      <c r="I140">
        <f t="shared" ref="I140:J142" si="21">D140/(C140+D140)</f>
        <v>0.99956705266556989</v>
      </c>
      <c r="J140" s="6">
        <f t="shared" si="21"/>
        <v>0.98075205550218203</v>
      </c>
      <c r="K140" s="2">
        <f>(J140*$N$3)/$N$2</f>
        <v>3.4751057084722983</v>
      </c>
    </row>
    <row r="141" spans="1:11" x14ac:dyDescent="0.3">
      <c r="A141" t="s">
        <v>4</v>
      </c>
      <c r="B141">
        <v>6</v>
      </c>
      <c r="C141">
        <v>22</v>
      </c>
      <c r="D141">
        <v>158362.65673828099</v>
      </c>
      <c r="E141">
        <v>4350211.9296875</v>
      </c>
      <c r="F141">
        <v>2010.19</v>
      </c>
      <c r="G141" t="s">
        <v>6</v>
      </c>
      <c r="H141">
        <v>90</v>
      </c>
      <c r="I141">
        <f t="shared" si="21"/>
        <v>0.99986109765647091</v>
      </c>
      <c r="J141" s="6">
        <f t="shared" si="21"/>
        <v>0.96487522747986187</v>
      </c>
      <c r="K141" s="2">
        <f>(J141*$N$3)/$N$2</f>
        <v>3.4188492312278567</v>
      </c>
    </row>
    <row r="142" spans="1:11" x14ac:dyDescent="0.3">
      <c r="A142" t="s">
        <v>4</v>
      </c>
      <c r="B142">
        <v>6</v>
      </c>
      <c r="C142">
        <v>24</v>
      </c>
      <c r="D142">
        <v>160055.46484375</v>
      </c>
      <c r="E142">
        <v>4307103.26171875</v>
      </c>
      <c r="F142">
        <v>2024.9</v>
      </c>
      <c r="G142" t="s">
        <v>6</v>
      </c>
      <c r="H142">
        <v>90</v>
      </c>
      <c r="I142">
        <f t="shared" si="21"/>
        <v>0.99985007446130947</v>
      </c>
      <c r="J142" s="6">
        <f t="shared" si="21"/>
        <v>0.9641706340336571</v>
      </c>
      <c r="K142" s="2">
        <f>(J142*$N$3)/$N$2</f>
        <v>3.4163526402767377</v>
      </c>
    </row>
    <row r="143" spans="1:11" x14ac:dyDescent="0.3">
      <c r="A143" t="s">
        <v>4</v>
      </c>
      <c r="B143">
        <v>2001</v>
      </c>
      <c r="C143">
        <v>2</v>
      </c>
      <c r="D143">
        <v>0</v>
      </c>
      <c r="E143">
        <v>0</v>
      </c>
      <c r="F143">
        <v>2039.23</v>
      </c>
    </row>
    <row r="144" spans="1:11" x14ac:dyDescent="0.3">
      <c r="A144" t="s">
        <v>4</v>
      </c>
      <c r="B144">
        <v>2001</v>
      </c>
      <c r="C144">
        <v>3</v>
      </c>
      <c r="D144">
        <v>0</v>
      </c>
      <c r="E144">
        <v>0</v>
      </c>
      <c r="F144">
        <v>2053.41</v>
      </c>
    </row>
    <row r="145" spans="1:11" x14ac:dyDescent="0.3">
      <c r="A145" t="s">
        <v>4</v>
      </c>
      <c r="B145">
        <v>2001</v>
      </c>
      <c r="C145">
        <v>2</v>
      </c>
      <c r="D145">
        <v>0</v>
      </c>
      <c r="E145">
        <v>0</v>
      </c>
      <c r="F145">
        <v>2067.8200000000002</v>
      </c>
    </row>
    <row r="146" spans="1:11" x14ac:dyDescent="0.3">
      <c r="A146" t="s">
        <v>4</v>
      </c>
      <c r="B146">
        <v>2001</v>
      </c>
      <c r="C146">
        <v>3</v>
      </c>
      <c r="D146">
        <v>0</v>
      </c>
      <c r="E146">
        <v>0</v>
      </c>
      <c r="F146">
        <v>2082.13</v>
      </c>
    </row>
    <row r="147" spans="1:11" x14ac:dyDescent="0.3">
      <c r="A147" t="s">
        <v>4</v>
      </c>
      <c r="B147">
        <v>2001</v>
      </c>
      <c r="C147">
        <v>2</v>
      </c>
      <c r="D147">
        <v>0</v>
      </c>
      <c r="E147">
        <v>0</v>
      </c>
      <c r="F147">
        <v>2096.46</v>
      </c>
    </row>
    <row r="148" spans="1:11" x14ac:dyDescent="0.3">
      <c r="A148" t="s">
        <v>4</v>
      </c>
      <c r="B148">
        <v>2001</v>
      </c>
      <c r="C148">
        <v>3</v>
      </c>
      <c r="D148">
        <v>0</v>
      </c>
      <c r="E148">
        <v>0</v>
      </c>
      <c r="F148">
        <v>2110.66</v>
      </c>
    </row>
    <row r="149" spans="1:11" x14ac:dyDescent="0.3">
      <c r="A149" t="s">
        <v>4</v>
      </c>
      <c r="B149">
        <v>5</v>
      </c>
      <c r="C149">
        <v>14</v>
      </c>
      <c r="D149">
        <v>3828249.5136718801</v>
      </c>
      <c r="E149">
        <v>10344.6484375</v>
      </c>
      <c r="F149">
        <v>2125.37</v>
      </c>
      <c r="G149" t="s">
        <v>7</v>
      </c>
      <c r="H149">
        <v>120</v>
      </c>
      <c r="I149">
        <f t="shared" ref="I149:J151" si="22">D149/(C149+D149)</f>
        <v>0.99999634298946505</v>
      </c>
      <c r="J149" s="6">
        <f t="shared" si="22"/>
        <v>2.6949054785764121E-3</v>
      </c>
      <c r="K149" s="2">
        <f>(J149*$N$3)/$N$2</f>
        <v>9.5488776799951599E-3</v>
      </c>
    </row>
    <row r="150" spans="1:11" x14ac:dyDescent="0.3">
      <c r="A150" t="s">
        <v>4</v>
      </c>
      <c r="B150">
        <v>5</v>
      </c>
      <c r="C150">
        <v>16</v>
      </c>
      <c r="D150">
        <v>3988365.4052734398</v>
      </c>
      <c r="E150">
        <v>5147.55517578125</v>
      </c>
      <c r="F150">
        <v>2140.06</v>
      </c>
      <c r="G150" t="s">
        <v>7</v>
      </c>
      <c r="H150">
        <v>120</v>
      </c>
      <c r="I150">
        <f t="shared" si="22"/>
        <v>0.99999598834755898</v>
      </c>
      <c r="J150" s="6">
        <f t="shared" si="22"/>
        <v>1.2889792087220904E-3</v>
      </c>
      <c r="K150" s="2">
        <f>(J150*$N$3)/$N$2</f>
        <v>4.5672491647633113E-3</v>
      </c>
    </row>
    <row r="151" spans="1:11" x14ac:dyDescent="0.3">
      <c r="A151" t="s">
        <v>4</v>
      </c>
      <c r="B151">
        <v>5</v>
      </c>
      <c r="C151">
        <v>18</v>
      </c>
      <c r="D151">
        <v>822910.033203125</v>
      </c>
      <c r="E151">
        <v>0</v>
      </c>
      <c r="F151">
        <v>2154.8000000000002</v>
      </c>
      <c r="G151" t="s">
        <v>7</v>
      </c>
      <c r="H151">
        <v>120</v>
      </c>
      <c r="I151">
        <f t="shared" si="22"/>
        <v>0.99997812688440091</v>
      </c>
      <c r="J151" s="6">
        <f t="shared" si="22"/>
        <v>0</v>
      </c>
      <c r="K151" s="2">
        <f>(J151*$N$3)/$N$2</f>
        <v>0</v>
      </c>
    </row>
    <row r="152" spans="1:11" x14ac:dyDescent="0.3">
      <c r="A152" t="s">
        <v>4</v>
      </c>
      <c r="B152">
        <v>2001</v>
      </c>
      <c r="C152">
        <v>2</v>
      </c>
      <c r="D152">
        <v>0</v>
      </c>
      <c r="E152">
        <v>0</v>
      </c>
      <c r="F152">
        <v>2169.13</v>
      </c>
    </row>
    <row r="153" spans="1:11" x14ac:dyDescent="0.3">
      <c r="A153" t="s">
        <v>4</v>
      </c>
      <c r="B153">
        <v>2001</v>
      </c>
      <c r="C153">
        <v>3</v>
      </c>
      <c r="D153">
        <v>0</v>
      </c>
      <c r="E153">
        <v>0</v>
      </c>
      <c r="F153">
        <v>2183.35</v>
      </c>
    </row>
    <row r="154" spans="1:11" x14ac:dyDescent="0.3">
      <c r="A154" t="s">
        <v>4</v>
      </c>
      <c r="B154">
        <v>5</v>
      </c>
      <c r="C154">
        <v>20</v>
      </c>
      <c r="D154">
        <v>137413.84765625</v>
      </c>
      <c r="E154">
        <v>4360184.1972656297</v>
      </c>
      <c r="F154">
        <v>2198.11</v>
      </c>
      <c r="G154" t="s">
        <v>6</v>
      </c>
      <c r="H154">
        <v>120</v>
      </c>
      <c r="I154">
        <f t="shared" ref="I154:J156" si="23">D154/(C154+D154)</f>
        <v>0.99985447544152284</v>
      </c>
      <c r="J154" s="6">
        <f t="shared" si="23"/>
        <v>0.96944728135245428</v>
      </c>
      <c r="K154" s="2">
        <f>(J154*$N$3)/$N$2</f>
        <v>3.4350494221149952</v>
      </c>
    </row>
    <row r="155" spans="1:11" x14ac:dyDescent="0.3">
      <c r="A155" t="s">
        <v>4</v>
      </c>
      <c r="B155">
        <v>5</v>
      </c>
      <c r="C155">
        <v>22</v>
      </c>
      <c r="D155">
        <v>161990.5234375</v>
      </c>
      <c r="E155">
        <v>4861478.9775390597</v>
      </c>
      <c r="F155">
        <v>2212.81</v>
      </c>
      <c r="G155" t="s">
        <v>6</v>
      </c>
      <c r="H155">
        <v>120</v>
      </c>
      <c r="I155">
        <f t="shared" si="23"/>
        <v>0.99986420802828557</v>
      </c>
      <c r="J155" s="6">
        <f t="shared" si="23"/>
        <v>0.96775325829966541</v>
      </c>
      <c r="K155" s="2">
        <f>(J155*$N$3)/$N$2</f>
        <v>3.4290469782271606</v>
      </c>
    </row>
    <row r="156" spans="1:11" x14ac:dyDescent="0.3">
      <c r="A156" t="s">
        <v>4</v>
      </c>
      <c r="B156">
        <v>5</v>
      </c>
      <c r="C156">
        <v>24</v>
      </c>
      <c r="D156">
        <v>153648.22119140599</v>
      </c>
      <c r="E156">
        <v>4679152.6879882803</v>
      </c>
      <c r="F156">
        <v>2227.5</v>
      </c>
      <c r="G156" t="s">
        <v>6</v>
      </c>
      <c r="H156">
        <v>120</v>
      </c>
      <c r="I156">
        <f t="shared" si="23"/>
        <v>0.99984382343266776</v>
      </c>
      <c r="J156" s="6">
        <f t="shared" si="23"/>
        <v>0.96820721066751203</v>
      </c>
      <c r="K156" s="2">
        <f>(J156*$N$3)/$N$2</f>
        <v>3.4306554708691368</v>
      </c>
    </row>
    <row r="157" spans="1:11" x14ac:dyDescent="0.3">
      <c r="A157" t="s">
        <v>4</v>
      </c>
      <c r="B157">
        <v>2001</v>
      </c>
      <c r="C157">
        <v>2</v>
      </c>
      <c r="D157">
        <v>0</v>
      </c>
      <c r="E157">
        <v>0</v>
      </c>
      <c r="F157">
        <v>2241.86</v>
      </c>
    </row>
    <row r="158" spans="1:11" x14ac:dyDescent="0.3">
      <c r="A158" t="s">
        <v>4</v>
      </c>
      <c r="B158">
        <v>2001</v>
      </c>
      <c r="C158">
        <v>3</v>
      </c>
      <c r="D158">
        <v>0</v>
      </c>
      <c r="E158">
        <v>0</v>
      </c>
      <c r="F158">
        <v>2256.0500000000002</v>
      </c>
    </row>
    <row r="159" spans="1:11" x14ac:dyDescent="0.3">
      <c r="A159" t="s">
        <v>4</v>
      </c>
      <c r="B159">
        <v>2001</v>
      </c>
      <c r="C159">
        <v>2</v>
      </c>
      <c r="D159">
        <v>0</v>
      </c>
      <c r="E159">
        <v>0</v>
      </c>
      <c r="F159">
        <v>2270.5</v>
      </c>
    </row>
    <row r="160" spans="1:11" x14ac:dyDescent="0.3">
      <c r="A160" t="s">
        <v>4</v>
      </c>
      <c r="B160">
        <v>2001</v>
      </c>
      <c r="C160">
        <v>3</v>
      </c>
      <c r="D160">
        <v>0</v>
      </c>
      <c r="E160">
        <v>0</v>
      </c>
      <c r="F160">
        <v>2284.71</v>
      </c>
    </row>
    <row r="161" spans="1:11" x14ac:dyDescent="0.3">
      <c r="A161" t="s">
        <v>4</v>
      </c>
      <c r="B161">
        <v>4</v>
      </c>
      <c r="C161">
        <v>14</v>
      </c>
      <c r="D161">
        <v>1152547.4970703099</v>
      </c>
      <c r="E161">
        <v>74603.3564453125</v>
      </c>
      <c r="F161">
        <v>2299.4499999999998</v>
      </c>
      <c r="G161" t="s">
        <v>7</v>
      </c>
      <c r="H161">
        <v>300</v>
      </c>
      <c r="I161">
        <f t="shared" ref="I161:J163" si="24">D161/(C161+D161)</f>
        <v>0.99998785314272987</v>
      </c>
      <c r="J161" s="6">
        <f t="shared" si="24"/>
        <v>6.0793957182675544E-2</v>
      </c>
      <c r="K161" s="2">
        <f>(J161*$N$3)/$N$2</f>
        <v>0.21541165930869283</v>
      </c>
    </row>
    <row r="162" spans="1:11" x14ac:dyDescent="0.3">
      <c r="A162" t="s">
        <v>4</v>
      </c>
      <c r="B162">
        <v>4</v>
      </c>
      <c r="C162">
        <v>16</v>
      </c>
      <c r="D162">
        <v>686927.23779296898</v>
      </c>
      <c r="E162">
        <v>37141.199707031301</v>
      </c>
      <c r="F162">
        <v>2314.02</v>
      </c>
      <c r="G162" t="s">
        <v>7</v>
      </c>
      <c r="H162">
        <v>300</v>
      </c>
      <c r="I162">
        <f t="shared" si="24"/>
        <v>0.9999767084103609</v>
      </c>
      <c r="J162" s="6">
        <f t="shared" si="24"/>
        <v>5.1295150822026112E-2</v>
      </c>
      <c r="K162" s="2">
        <f>(J162*$N$3)/$N$2</f>
        <v>0.18175447141662793</v>
      </c>
    </row>
    <row r="163" spans="1:11" x14ac:dyDescent="0.3">
      <c r="A163" t="s">
        <v>4</v>
      </c>
      <c r="B163">
        <v>4</v>
      </c>
      <c r="C163">
        <v>18</v>
      </c>
      <c r="D163">
        <v>243112.66015625</v>
      </c>
      <c r="E163">
        <v>0</v>
      </c>
      <c r="F163">
        <v>2328.7399999999998</v>
      </c>
      <c r="G163" t="s">
        <v>7</v>
      </c>
      <c r="H163">
        <v>300</v>
      </c>
      <c r="I163">
        <f t="shared" si="24"/>
        <v>0.99992596573386328</v>
      </c>
      <c r="J163" s="6">
        <f t="shared" si="24"/>
        <v>0</v>
      </c>
      <c r="K163" s="2">
        <f>(J163*$N$3)/$N$2</f>
        <v>0</v>
      </c>
    </row>
    <row r="164" spans="1:11" x14ac:dyDescent="0.3">
      <c r="A164" t="s">
        <v>4</v>
      </c>
      <c r="B164">
        <v>2001</v>
      </c>
      <c r="C164">
        <v>2</v>
      </c>
      <c r="D164">
        <v>0</v>
      </c>
      <c r="E164">
        <v>0</v>
      </c>
      <c r="F164">
        <v>2343.2399999999998</v>
      </c>
    </row>
    <row r="165" spans="1:11" x14ac:dyDescent="0.3">
      <c r="A165" t="s">
        <v>4</v>
      </c>
      <c r="B165">
        <v>2001</v>
      </c>
      <c r="C165">
        <v>3</v>
      </c>
      <c r="D165">
        <v>0</v>
      </c>
      <c r="E165">
        <v>0</v>
      </c>
      <c r="F165">
        <v>2357.34</v>
      </c>
    </row>
    <row r="166" spans="1:11" x14ac:dyDescent="0.3">
      <c r="A166" t="s">
        <v>4</v>
      </c>
      <c r="B166">
        <v>4</v>
      </c>
      <c r="C166">
        <v>20</v>
      </c>
      <c r="D166">
        <v>102971.509765625</v>
      </c>
      <c r="E166">
        <v>5501665.828125</v>
      </c>
      <c r="F166">
        <v>2372.0500000000002</v>
      </c>
      <c r="G166" t="s">
        <v>6</v>
      </c>
      <c r="H166">
        <v>300</v>
      </c>
      <c r="I166">
        <f t="shared" ref="I166:J168" si="25">D166/(C166+D166)</f>
        <v>0.99980580923567863</v>
      </c>
      <c r="J166" s="6">
        <f t="shared" si="25"/>
        <v>0.98162744463955276</v>
      </c>
      <c r="K166" s="2">
        <f>(J166*$N$3)/$N$2</f>
        <v>3.4782074810062893</v>
      </c>
    </row>
    <row r="167" spans="1:11" x14ac:dyDescent="0.3">
      <c r="A167" t="s">
        <v>4</v>
      </c>
      <c r="B167">
        <v>4</v>
      </c>
      <c r="C167">
        <v>22</v>
      </c>
      <c r="D167">
        <v>113609.791015625</v>
      </c>
      <c r="E167">
        <v>6349451.6450195303</v>
      </c>
      <c r="F167">
        <v>2386.7800000000002</v>
      </c>
      <c r="G167" t="s">
        <v>6</v>
      </c>
      <c r="H167">
        <v>300</v>
      </c>
      <c r="I167">
        <f t="shared" si="25"/>
        <v>0.99980639220940404</v>
      </c>
      <c r="J167" s="6">
        <f t="shared" si="25"/>
        <v>0.98242167552637094</v>
      </c>
      <c r="K167" s="2">
        <f>(J167*$N$3)/$N$2</f>
        <v>3.4810216849359596</v>
      </c>
    </row>
    <row r="168" spans="1:11" x14ac:dyDescent="0.3">
      <c r="A168" t="s">
        <v>4</v>
      </c>
      <c r="B168">
        <v>4</v>
      </c>
      <c r="C168">
        <v>24</v>
      </c>
      <c r="D168">
        <v>105682.462890625</v>
      </c>
      <c r="E168">
        <v>5403165.62890625</v>
      </c>
      <c r="F168">
        <v>2401.52</v>
      </c>
      <c r="G168" t="s">
        <v>6</v>
      </c>
      <c r="H168">
        <v>300</v>
      </c>
      <c r="I168">
        <f t="shared" si="25"/>
        <v>0.99977295617180162</v>
      </c>
      <c r="J168" s="6">
        <f t="shared" si="25"/>
        <v>0.98081586910192808</v>
      </c>
      <c r="K168" s="2">
        <f>(J168*$N$3)/$N$2</f>
        <v>3.4753318196525007</v>
      </c>
    </row>
    <row r="169" spans="1:11" x14ac:dyDescent="0.3">
      <c r="A169" t="s">
        <v>4</v>
      </c>
      <c r="B169">
        <v>2001</v>
      </c>
      <c r="C169">
        <v>2</v>
      </c>
      <c r="D169">
        <v>0</v>
      </c>
      <c r="E169">
        <v>0</v>
      </c>
      <c r="F169">
        <v>2415.96</v>
      </c>
    </row>
    <row r="170" spans="1:11" x14ac:dyDescent="0.3">
      <c r="A170" t="s">
        <v>4</v>
      </c>
      <c r="B170">
        <v>2001</v>
      </c>
      <c r="C170">
        <v>3</v>
      </c>
      <c r="D170">
        <v>0</v>
      </c>
      <c r="E170">
        <v>0</v>
      </c>
      <c r="F170">
        <v>2430.15</v>
      </c>
    </row>
    <row r="171" spans="1:11" x14ac:dyDescent="0.3">
      <c r="A171" t="s">
        <v>4</v>
      </c>
      <c r="B171">
        <v>2001</v>
      </c>
      <c r="C171">
        <v>2</v>
      </c>
      <c r="D171">
        <v>0</v>
      </c>
      <c r="E171">
        <v>0</v>
      </c>
      <c r="F171">
        <v>2444.4499999999998</v>
      </c>
    </row>
    <row r="172" spans="1:11" x14ac:dyDescent="0.3">
      <c r="A172" t="s">
        <v>4</v>
      </c>
      <c r="B172">
        <v>2001</v>
      </c>
      <c r="C172">
        <v>3</v>
      </c>
      <c r="D172">
        <v>0</v>
      </c>
      <c r="E172">
        <v>0</v>
      </c>
      <c r="F172">
        <v>2458.6799999999998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Pp_Sml</vt:lpstr>
      <vt:lpstr>Pp_Lrg</vt:lpstr>
      <vt:lpstr>At4_1</vt:lpstr>
      <vt:lpstr>Pp_S</vt:lpstr>
      <vt:lpstr>At4_2</vt:lpstr>
      <vt:lpstr>Fs_L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Wren</dc:creator>
  <cp:lastModifiedBy>Oliver Eyre</cp:lastModifiedBy>
  <dcterms:created xsi:type="dcterms:W3CDTF">2015-06-05T18:17:20Z</dcterms:created>
  <dcterms:modified xsi:type="dcterms:W3CDTF">2026-05-13T13:50:25Z</dcterms:modified>
</cp:coreProperties>
</file>